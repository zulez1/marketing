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 12–25.10" sheetId="1" state="visible" r:id="rId1"/>
    <sheet name="Роли площадок" sheetId="2" state="visible" r:id="rId2"/>
    <sheet name="Сводка" sheetId="3" state="visible" r:id="rId3"/>
  </sheets>
  <definedNames>
    <definedName name="_xlnm._FilterDatabase" localSheetId="0" hidden="1">'Расписание 12–25.10'!$A$3:$Q$17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0B90B"/>
      <sz val="16"/>
    </font>
    <font>
      <name val="Arial"/>
      <i val="1"/>
      <color rgb="00585D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D0F13"/>
      </patternFill>
    </fill>
    <fill>
      <patternFill patternType="solid">
        <fgColor rgb="00E9D7F5"/>
      </patternFill>
    </fill>
    <fill>
      <patternFill patternType="solid">
        <fgColor rgb="00D6E4F7"/>
      </patternFill>
    </fill>
    <fill>
      <patternFill patternType="solid">
        <fgColor rgb="00D4EEF7"/>
      </patternFill>
    </fill>
    <fill>
      <patternFill patternType="solid">
        <fgColor rgb="00D9F0E2"/>
      </patternFill>
    </fill>
    <fill>
      <patternFill patternType="solid">
        <fgColor rgb="00F7E7C6"/>
      </patternFill>
    </fill>
    <fill>
      <patternFill patternType="solid">
        <fgColor rgb="00F3F0E8"/>
      </patternFill>
    </fill>
  </fills>
  <borders count="2">
    <border>
      <left/>
      <right/>
      <top/>
      <bottom/>
      <diagonal/>
    </border>
    <border>
      <left style="thin">
        <color rgb="00DAD5C6"/>
      </left>
      <right style="thin">
        <color rgb="00DAD5C6"/>
      </right>
      <top style="thin">
        <color rgb="00DAD5C6"/>
      </top>
      <bottom style="thin">
        <color rgb="00DAD5C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1E6B3A"/>
      </font>
      <fill>
        <patternFill patternType="solid">
          <fgColor rgb="00CDEBD6"/>
        </patternFill>
      </fill>
    </dxf>
    <dxf>
      <font>
        <name val="Arial"/>
        <color rgb="007A5B00"/>
      </font>
      <fill>
        <patternFill patternType="solid">
          <fgColor rgb="00FCEF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16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40" customWidth="1" min="17" max="17"/>
  </cols>
  <sheetData>
    <row r="1" ht="32" customHeight="1">
      <c r="A1" s="1" t="inlineStr">
        <is>
          <t>РЕШЕНО · расписание публикаций 12–25 октября</t>
        </is>
      </c>
    </row>
    <row r="2" ht="34" customHeight="1">
      <c r="A2" s="2" t="inlineStr">
        <is>
          <t>VK и Instagram — привлекаем новых людей и лиды (охват, мемы, рилсы, ссылка на сайт и в Telegram). Telegram-канал — главная площадка: полные тексты, программа, условия, чек-листы. Telegram-чат — живое общение: вопрос дня, нетворкинг. В колонках «статус» выберите «Выложено», когда опубликовали.</t>
        </is>
      </c>
    </row>
    <row r="3" ht="34" customHeight="1">
      <c r="A3" s="3" t="inlineStr">
        <is>
          <t>Дата</t>
        </is>
      </c>
      <c r="B3" s="3" t="inlineStr">
        <is>
          <t>День</t>
        </is>
      </c>
      <c r="C3" s="3" t="inlineStr">
        <is>
          <t>Время</t>
        </is>
      </c>
      <c r="D3" s="3" t="inlineStr">
        <is>
          <t>Тип</t>
        </is>
      </c>
      <c r="E3" s="3" t="inlineStr">
        <is>
          <t>Тема</t>
        </is>
      </c>
      <c r="F3" s="3" t="inlineStr">
        <is>
          <t>Instagram: что выкладываем</t>
        </is>
      </c>
      <c r="G3" s="3" t="inlineStr">
        <is>
          <t>VK: что выкладываем</t>
        </is>
      </c>
      <c r="H3" s="3" t="inlineStr">
        <is>
          <t>Telegram-канал: что выкладываем</t>
        </is>
      </c>
      <c r="I3" s="3" t="inlineStr">
        <is>
          <t>Telegram-чат: что выкладываем</t>
        </is>
      </c>
      <c r="J3" s="3" t="inlineStr">
        <is>
          <t>Сторис IG+VK: что выкладываем</t>
        </is>
      </c>
      <c r="K3" s="3" t="inlineStr">
        <is>
          <t>Instagram: статус</t>
        </is>
      </c>
      <c r="L3" s="3" t="inlineStr">
        <is>
          <t>VK: статус</t>
        </is>
      </c>
      <c r="M3" s="3" t="inlineStr">
        <is>
          <t>Telegram-канал: статус</t>
        </is>
      </c>
      <c r="N3" s="3" t="inlineStr">
        <is>
          <t>Telegram-чат: статус</t>
        </is>
      </c>
      <c r="O3" s="3" t="inlineStr">
        <is>
          <t>Сторис IG+VK: статус</t>
        </is>
      </c>
      <c r="P3" s="3" t="inlineStr">
        <is>
          <t>Готово?</t>
        </is>
      </c>
      <c r="Q3" s="3" t="inlineStr">
        <is>
          <t>Папка с материалами</t>
        </is>
      </c>
    </row>
    <row r="4" ht="78" customHeight="1">
      <c r="A4" s="4" t="inlineStr">
        <is>
          <t>12.10</t>
        </is>
      </c>
      <c r="B4" s="4" t="inlineStr">
        <is>
          <t>Пн</t>
        </is>
      </c>
      <c r="C4" s="4" t="inlineStr">
        <is>
          <t>12:00 / 18:00</t>
        </is>
      </c>
      <c r="D4" s="5" t="inlineStr">
        <is>
          <t>Знакомство · форматы</t>
        </is>
      </c>
      <c r="E4" s="6" t="inlineStr">
        <is>
          <t>Знакомьтесь: зубр + 9 форматов форума</t>
        </is>
      </c>
      <c r="F4" s="7" t="inlineStr">
        <is>
          <t>Рилс «Знакомьтесь, это зубр» (12:00, версия без звука + трендовый трек, удар на 2-й секунде) + карусель 5 сл. (18:00) · CTA: подпишитесь</t>
        </is>
      </c>
      <c r="G4" s="8" t="inlineStr">
        <is>
          <t>Клип с зубром + карусель · CTA: подпишитесь, ссылка на сайт</t>
        </is>
      </c>
      <c r="H4" s="9" t="inlineStr">
        <is>
          <t>Пост «9 форматов форума» полностью + рилс</t>
        </is>
      </c>
      <c r="I4" s="10" t="inlineStr">
        <is>
          <t>Знакомство: «Кто вы, какой бизнес, какой город?» — первое сообщение недели</t>
        </is>
      </c>
      <c r="J4" s="11" t="inlineStr">
        <is>
          <t>Репост рилса + опрос «Какой формат интереснее?» · отсчёт 32</t>
        </is>
      </c>
      <c r="K4" s="4" t="inlineStr">
        <is>
          <t>Нужно</t>
        </is>
      </c>
      <c r="L4" s="4" t="inlineStr">
        <is>
          <t>Нужно</t>
        </is>
      </c>
      <c r="M4" s="4" t="inlineStr">
        <is>
          <t>Нужно</t>
        </is>
      </c>
      <c r="N4" s="4" t="inlineStr">
        <is>
          <t>Нужно</t>
        </is>
      </c>
      <c r="O4" s="4" t="inlineStr">
        <is>
          <t>Нужно</t>
        </is>
      </c>
      <c r="P4" s="4">
        <f>IF(COUNTIF(K4:O4,"Нужно")=0,"Всё выложено","Осталось: "&amp;COUNTIF(K4:O4,"Нужно"))</f>
        <v/>
      </c>
      <c r="Q4" s="5" t="inlineStr">
        <is>
          <t>content/nedeli-3-4_12.10-25.10/01-pn-12.10-zubr-formaty</t>
        </is>
      </c>
    </row>
    <row r="5" ht="78" customHeight="1">
      <c r="A5" s="4" t="inlineStr">
        <is>
          <t>13.10</t>
        </is>
      </c>
      <c r="B5" s="4" t="inlineStr">
        <is>
          <t>Вт</t>
        </is>
      </c>
      <c r="C5" s="4" t="inlineStr">
        <is>
          <t>10:00</t>
        </is>
      </c>
      <c r="D5" s="5" t="inlineStr">
        <is>
          <t>Польза · лид-магнит</t>
        </is>
      </c>
      <c r="E5" s="6" t="inlineStr">
        <is>
          <t>Сколько стоит потерянный клиент + чек-лист «12 причин» (PDF)</t>
        </is>
      </c>
      <c r="F5" s="7" t="inlineStr">
        <is>
          <t>Карусель 6 сл. · CTA: слово КЛИЕНТЫ → в директ ссылка на чек-лист в TG</t>
        </is>
      </c>
      <c r="G5" s="8" t="inlineStr">
        <is>
          <t>Карусель + текст · CTA: чек-лист в Telegram (ссылка)</t>
        </is>
      </c>
      <c r="H5" s="9" t="inlineStr">
        <is>
          <t>Пост + PDF-чек-лист «12 причин» отдельным сообщением (закрепить на день)</t>
        </is>
      </c>
      <c r="I5" s="10" t="inlineStr">
        <is>
          <t>«Кто считал LTV? Сколько месяцев в среднем ходит ваш клиент?»</t>
        </is>
      </c>
      <c r="J5" s="11" t="inlineStr">
        <is>
          <t>Зубр в шоке + викторина «Сколько ходит клиент» · отсчёт 31</t>
        </is>
      </c>
      <c r="K5" s="4" t="inlineStr">
        <is>
          <t>Нужно</t>
        </is>
      </c>
      <c r="L5" s="4" t="inlineStr">
        <is>
          <t>Нужно</t>
        </is>
      </c>
      <c r="M5" s="4" t="inlineStr">
        <is>
          <t>Нужно</t>
        </is>
      </c>
      <c r="N5" s="4" t="inlineStr">
        <is>
          <t>Нужно</t>
        </is>
      </c>
      <c r="O5" s="4" t="inlineStr">
        <is>
          <t>Нужно</t>
        </is>
      </c>
      <c r="P5" s="4">
        <f>IF(COUNTIF(K5:O5,"Нужно")=0,"Всё выложено","Осталось: "&amp;COUNTIF(K5:O5,"Нужно"))</f>
        <v/>
      </c>
      <c r="Q5" s="5" t="inlineStr">
        <is>
          <t>content/nedeli-3-4_12.10-25.10/02-vt-13.10-poteryannyy-klient</t>
        </is>
      </c>
    </row>
    <row r="6" ht="78" customHeight="1">
      <c r="A6" s="4" t="inlineStr">
        <is>
          <t>14.10</t>
        </is>
      </c>
      <c r="B6" s="4" t="inlineStr">
        <is>
          <t>Ср</t>
        </is>
      </c>
      <c r="C6" s="4" t="inlineStr">
        <is>
          <t>12:00 + 19:00</t>
        </is>
      </c>
      <c r="D6" s="5" t="inlineStr">
        <is>
          <t>Розыгрыш + мем</t>
        </is>
      </c>
      <c r="E6" s="6" t="inlineStr">
        <is>
          <t>Розыгрыш билета (итоги 25.10) + мем «Родительский чат»</t>
        </is>
      </c>
      <c r="F6" s="7" t="inlineStr">
        <is>
          <t>12:00 розыгрыш (2 сл.) · 19:00 мем · CTA: отметьте коллегу</t>
        </is>
      </c>
      <c r="G6" s="8" t="inlineStr">
        <is>
          <t>Розыгрыш + мем · CTA: подписка и отметка коллеги</t>
        </is>
      </c>
      <c r="H6" s="9" t="inlineStr">
        <is>
          <t>Пост с полными условиями розыгрыша (закрепить) + мем</t>
        </is>
      </c>
      <c r="I6" s="10" t="inlineStr">
        <is>
          <t>«Во сколько вам пришло последнее сообщение от родителя?» + ссылка на розыгрыш</t>
        </is>
      </c>
      <c r="J6" s="11" t="inlineStr">
        <is>
          <t>Сторис «Разыгрываем билет» + стикер-ссылка · отсчёт 30</t>
        </is>
      </c>
      <c r="K6" s="4" t="inlineStr">
        <is>
          <t>Нужно</t>
        </is>
      </c>
      <c r="L6" s="4" t="inlineStr">
        <is>
          <t>Нужно</t>
        </is>
      </c>
      <c r="M6" s="4" t="inlineStr">
        <is>
          <t>Нужно</t>
        </is>
      </c>
      <c r="N6" s="4" t="inlineStr">
        <is>
          <t>Нужно</t>
        </is>
      </c>
      <c r="O6" s="4" t="inlineStr">
        <is>
          <t>Нужно</t>
        </is>
      </c>
      <c r="P6" s="4">
        <f>IF(COUNTIF(K6:O6,"Нужно")=0,"Всё выложено","Осталось: "&amp;COUNTIF(K6:O6,"Нужно"))</f>
        <v/>
      </c>
      <c r="Q6" s="5" t="inlineStr">
        <is>
          <t>content/nedeli-3-4_12.10-25.10/03-sr-14.10-rozygrysh-bileta</t>
        </is>
      </c>
    </row>
    <row r="7" ht="78" customHeight="1">
      <c r="A7" s="4" t="inlineStr">
        <is>
          <t>15.10</t>
        </is>
      </c>
      <c r="B7" s="4" t="inlineStr">
        <is>
          <t>Чт</t>
        </is>
      </c>
      <c r="C7" s="4" t="inlineStr">
        <is>
          <t>10:00</t>
        </is>
      </c>
      <c r="D7" s="5" t="inlineStr">
        <is>
          <t>Польза</t>
        </is>
      </c>
      <c r="E7" s="6" t="inlineStr">
        <is>
          <t>5 фраз, которые удерживают клиента после пробного занятия</t>
        </is>
      </c>
      <c r="F7" s="7" t="inlineStr">
        <is>
          <t>Карусель 7 сл. · CTA: сохраните, отправьте админу</t>
        </is>
      </c>
      <c r="G7" s="8" t="inlineStr">
        <is>
          <t>Карусель + текст · CTA: сохраните</t>
        </is>
      </c>
      <c r="H7" s="9" t="inlineStr">
        <is>
          <t>Пост с фразами полностью + ссылка на сайт</t>
        </is>
      </c>
      <c r="I7" s="10" t="inlineStr">
        <is>
          <t>«Какая фраза у вас лучше всего удерживает после пробного?»</t>
        </is>
      </c>
      <c r="J7" s="11" t="inlineStr">
        <is>
          <t>Обложка + «Сохраните» · отсчёт 29</t>
        </is>
      </c>
      <c r="K7" s="4" t="inlineStr">
        <is>
          <t>Нужно</t>
        </is>
      </c>
      <c r="L7" s="4" t="inlineStr">
        <is>
          <t>Нужно</t>
        </is>
      </c>
      <c r="M7" s="4" t="inlineStr">
        <is>
          <t>Нужно</t>
        </is>
      </c>
      <c r="N7" s="4" t="inlineStr">
        <is>
          <t>Нужно</t>
        </is>
      </c>
      <c r="O7" s="4" t="inlineStr">
        <is>
          <t>Нужно</t>
        </is>
      </c>
      <c r="P7" s="4">
        <f>IF(COUNTIF(K7:O7,"Нужно")=0,"Всё выложено","Осталось: "&amp;COUNTIF(K7:O7,"Нужно"))</f>
        <v/>
      </c>
      <c r="Q7" s="5" t="inlineStr">
        <is>
          <t>content/nedeli-3-4_12.10-25.10/04-cht-15.10-5-fraz-posle-probnogo</t>
        </is>
      </c>
    </row>
    <row r="8" ht="78" customHeight="1">
      <c r="A8" s="4" t="inlineStr">
        <is>
          <t>16.10</t>
        </is>
      </c>
      <c r="B8" s="4" t="inlineStr">
        <is>
          <t>Пт</t>
        </is>
      </c>
      <c r="C8" s="4" t="inlineStr">
        <is>
          <t>19:00</t>
        </is>
      </c>
      <c r="D8" s="5" t="inlineStr">
        <is>
          <t>Мем + рилс</t>
        </is>
      </c>
      <c r="E8" s="6" t="inlineStr">
        <is>
          <t>«Нет / Да» про форумы (верх — ч/б зубр) + рилс «Полный зал»</t>
        </is>
      </c>
      <c r="F8" s="7" t="inlineStr">
        <is>
          <t>Мем + рилс под трендовый звук · CTA: ссылка в профиле</t>
        </is>
      </c>
      <c r="G8" s="8" t="inlineStr">
        <is>
          <t>Мем + клип · CTA: ссылка на сайт</t>
        </is>
      </c>
      <c r="H8" s="9" t="inlineStr">
        <is>
          <t>Мем + рилс</t>
        </is>
      </c>
      <c r="I8" s="10" t="inlineStr">
        <is>
          <t>«Пятничный вопрос: лучший и худший форум, на котором вы были?»</t>
        </is>
      </c>
      <c r="J8" s="11" t="inlineStr">
        <is>
          <t>Мем + опрос «Какой форум выберете?» · напоминание о розыгрыше · отсчёт 28</t>
        </is>
      </c>
      <c r="K8" s="4" t="inlineStr">
        <is>
          <t>Нужно</t>
        </is>
      </c>
      <c r="L8" s="4" t="inlineStr">
        <is>
          <t>Нужно</t>
        </is>
      </c>
      <c r="M8" s="4" t="inlineStr">
        <is>
          <t>Нужно</t>
        </is>
      </c>
      <c r="N8" s="4" t="inlineStr">
        <is>
          <t>Нужно</t>
        </is>
      </c>
      <c r="O8" s="4" t="inlineStr">
        <is>
          <t>Нужно</t>
        </is>
      </c>
      <c r="P8" s="4">
        <f>IF(COUNTIF(K8:O8,"Нужно")=0,"Всё выложено","Осталось: "&amp;COUNTIF(K8:O8,"Нужно"))</f>
        <v/>
      </c>
      <c r="Q8" s="5" t="inlineStr">
        <is>
          <t>content/nedeli-3-4_12.10-25.10/05-pt-16.10-mem-net-da</t>
        </is>
      </c>
    </row>
    <row r="9" ht="78" customHeight="1">
      <c r="A9" s="12" t="inlineStr">
        <is>
          <t>17.10</t>
        </is>
      </c>
      <c r="B9" s="12" t="inlineStr">
        <is>
          <t>Сб</t>
        </is>
      </c>
      <c r="C9" s="12" t="inlineStr">
        <is>
          <t>12:00</t>
        </is>
      </c>
      <c r="D9" s="5" t="inlineStr">
        <is>
          <t>Форум</t>
        </is>
      </c>
      <c r="E9" s="6" t="inlineStr">
        <is>
          <t>Как выглядит день на РЕШЕНО (13.11 по часам)</t>
        </is>
      </c>
      <c r="F9" s="7" t="inlineStr">
        <is>
          <t>Карусель 6 сл. · CTA: программа по ссылке в профиле</t>
        </is>
      </c>
      <c r="G9" s="8" t="inlineStr">
        <is>
          <t>Карусель + текст · CTA: программа на сайте (#program)</t>
        </is>
      </c>
      <c r="H9" s="9" t="inlineStr">
        <is>
          <t>Пост с полной программой дня — важная информация, закрепить</t>
        </is>
      </c>
      <c r="I9" s="10" t="inlineStr">
        <is>
          <t>«Какую сессию 13 ноября ждёте больше всего?»</t>
        </is>
      </c>
      <c r="J9" s="11" t="inlineStr">
        <is>
          <t>Слайды «Утро» и «Вечер» + вопрос · отсчёт 27</t>
        </is>
      </c>
      <c r="K9" s="4" t="inlineStr">
        <is>
          <t>Нужно</t>
        </is>
      </c>
      <c r="L9" s="4" t="inlineStr">
        <is>
          <t>Нужно</t>
        </is>
      </c>
      <c r="M9" s="4" t="inlineStr">
        <is>
          <t>Нужно</t>
        </is>
      </c>
      <c r="N9" s="4" t="inlineStr">
        <is>
          <t>Нужно</t>
        </is>
      </c>
      <c r="O9" s="4" t="inlineStr">
        <is>
          <t>Нужно</t>
        </is>
      </c>
      <c r="P9" s="4">
        <f>IF(COUNTIF(K9:O9,"Нужно")=0,"Всё выложено","Осталось: "&amp;COUNTIF(K9:O9,"Нужно"))</f>
        <v/>
      </c>
      <c r="Q9" s="5" t="inlineStr">
        <is>
          <t>content/nedeli-3-4_12.10-25.10/06-sb-17.10-den-na-reshno</t>
        </is>
      </c>
    </row>
    <row r="10" ht="78" customHeight="1">
      <c r="A10" s="12" t="inlineStr">
        <is>
          <t>18.10</t>
        </is>
      </c>
      <c r="B10" s="12" t="inlineStr">
        <is>
          <t>Вс</t>
        </is>
      </c>
      <c r="C10" s="12" t="inlineStr">
        <is>
          <t>12:00</t>
        </is>
      </c>
      <c r="D10" s="5" t="inlineStr">
        <is>
          <t>Вовлечение</t>
        </is>
      </c>
      <c r="E10" s="6" t="inlineStr">
        <is>
          <t>«Какой ты зубр сегодня?»</t>
        </is>
      </c>
      <c r="F10" s="7" t="inlineStr">
        <is>
          <t>Картинка «Какой ты зубр» · CTA: цифра в комментариях</t>
        </is>
      </c>
      <c r="G10" s="8" t="inlineStr">
        <is>
          <t>Картинка · CTA: цифра в комментариях</t>
        </is>
      </c>
      <c r="H10" s="9" t="inlineStr">
        <is>
          <t>«Какой ты зубр» + напоминание о розыгрыше</t>
        </is>
      </c>
      <c r="I10" s="10" t="inlineStr">
        <is>
          <t>«Какой вы зубр сегодня?»</t>
        </is>
      </c>
      <c r="J10" s="11" t="inlineStr">
        <is>
          <t>Картинка + опрос · отсчёт 26</t>
        </is>
      </c>
      <c r="K10" s="4" t="inlineStr">
        <is>
          <t>Нужно</t>
        </is>
      </c>
      <c r="L10" s="4" t="inlineStr">
        <is>
          <t>Нужно</t>
        </is>
      </c>
      <c r="M10" s="4" t="inlineStr">
        <is>
          <t>Нужно</t>
        </is>
      </c>
      <c r="N10" s="4" t="inlineStr">
        <is>
          <t>Нужно</t>
        </is>
      </c>
      <c r="O10" s="4" t="inlineStr">
        <is>
          <t>Нужно</t>
        </is>
      </c>
      <c r="P10" s="4">
        <f>IF(COUNTIF(K10:O10,"Нужно")=0,"Всё выложено","Осталось: "&amp;COUNTIF(K10:O10,"Нужно"))</f>
        <v/>
      </c>
      <c r="Q10" s="5" t="inlineStr">
        <is>
          <t>content/nedeli-3-4_12.10-25.10/07-vs-18.10-kakoy-ty-zubr</t>
        </is>
      </c>
    </row>
    <row r="11" ht="78" customHeight="1">
      <c r="A11" s="4" t="inlineStr">
        <is>
          <t>19.10</t>
        </is>
      </c>
      <c r="B11" s="4" t="inlineStr">
        <is>
          <t>Пн</t>
        </is>
      </c>
      <c r="C11" s="4" t="inlineStr">
        <is>
          <t>10:00</t>
        </is>
      </c>
      <c r="D11" s="5" t="inlineStr">
        <is>
          <t>Польза</t>
        </is>
      </c>
      <c r="E11" s="6" t="inlineStr">
        <is>
          <t>6 цифр, которые владелец смотрит каждый понедельник</t>
        </is>
      </c>
      <c r="F11" s="7" t="inlineStr">
        <is>
          <t>Карусель 5 сл. · CTA: сохраните</t>
        </is>
      </c>
      <c r="G11" s="8" t="inlineStr">
        <is>
          <t>Карусель + текст · CTA: сессия Finance на сайте</t>
        </is>
      </c>
      <c r="H11" s="9" t="inlineStr">
        <is>
          <t>Пост с цифрами полностью</t>
        </is>
      </c>
      <c r="I11" s="10" t="inlineStr">
        <is>
          <t>«Покажите, какие цифры смотрите вы — таблица, CRM, тетрадка?»</t>
        </is>
      </c>
      <c r="J11" s="11" t="inlineStr">
        <is>
          <t>Флипчарт + шкала «Сколько цифр из 6 считаете» · отсчёт 25</t>
        </is>
      </c>
      <c r="K11" s="4" t="inlineStr">
        <is>
          <t>Нужно</t>
        </is>
      </c>
      <c r="L11" s="4" t="inlineStr">
        <is>
          <t>Нужно</t>
        </is>
      </c>
      <c r="M11" s="4" t="inlineStr">
        <is>
          <t>Нужно</t>
        </is>
      </c>
      <c r="N11" s="4" t="inlineStr">
        <is>
          <t>Нужно</t>
        </is>
      </c>
      <c r="O11" s="4" t="inlineStr">
        <is>
          <t>Нужно</t>
        </is>
      </c>
      <c r="P11" s="4">
        <f>IF(COUNTIF(K11:O11,"Нужно")=0,"Всё выложено","Осталось: "&amp;COUNTIF(K11:O11,"Нужно"))</f>
        <v/>
      </c>
      <c r="Q11" s="5" t="inlineStr">
        <is>
          <t>content/nedeli-3-4_12.10-25.10/08-pn-19.10-6-cifr-ponedelnika</t>
        </is>
      </c>
    </row>
    <row r="12" ht="78" customHeight="1">
      <c r="A12" s="4" t="inlineStr">
        <is>
          <t>20.10</t>
        </is>
      </c>
      <c r="B12" s="4" t="inlineStr">
        <is>
          <t>Вт</t>
        </is>
      </c>
      <c r="C12" s="4" t="inlineStr">
        <is>
          <t>19:00</t>
        </is>
      </c>
      <c r="D12" s="5" t="inlineStr">
        <is>
          <t>Мем</t>
        </is>
      </c>
      <c r="E12" s="6" t="inlineStr">
        <is>
          <t>Ожидание / реальность: второй филиал</t>
        </is>
      </c>
      <c r="F12" s="7" t="inlineStr">
        <is>
          <t>Мем · CTA: отметьте того, кто собирается открывать</t>
        </is>
      </c>
      <c r="G12" s="8" t="inlineStr">
        <is>
          <t>Мем · CTA: отметьте коллегу</t>
        </is>
      </c>
      <c r="H12" s="9" t="inlineStr">
        <is>
          <t>Мем + анонс дебатов Owner vs Owner</t>
        </is>
      </c>
      <c r="I12" s="10" t="inlineStr">
        <is>
          <t>«У кого 2+ филиала — главная ошибка при открытии второго?»</t>
        </is>
      </c>
      <c r="J12" s="11" t="inlineStr">
        <is>
          <t>Мем + опрос «Второй филиал: есть / думаю / ни за что» · отсчёт 24</t>
        </is>
      </c>
      <c r="K12" s="4" t="inlineStr">
        <is>
          <t>Нужно</t>
        </is>
      </c>
      <c r="L12" s="4" t="inlineStr">
        <is>
          <t>Нужно</t>
        </is>
      </c>
      <c r="M12" s="4" t="inlineStr">
        <is>
          <t>Нужно</t>
        </is>
      </c>
      <c r="N12" s="4" t="inlineStr">
        <is>
          <t>Нужно</t>
        </is>
      </c>
      <c r="O12" s="4" t="inlineStr">
        <is>
          <t>Нужно</t>
        </is>
      </c>
      <c r="P12" s="4">
        <f>IF(COUNTIF(K12:O12,"Нужно")=0,"Всё выложено","Осталось: "&amp;COUNTIF(K12:O12,"Нужно"))</f>
        <v/>
      </c>
      <c r="Q12" s="5" t="inlineStr">
        <is>
          <t>content/nedeli-3-4_12.10-25.10/09-vt-20.10-mem-ozhidanie-realnost</t>
        </is>
      </c>
    </row>
    <row r="13" ht="78" customHeight="1">
      <c r="A13" s="4" t="inlineStr">
        <is>
          <t>21.10</t>
        </is>
      </c>
      <c r="B13" s="4" t="inlineStr">
        <is>
          <t>Ср</t>
        </is>
      </c>
      <c r="C13" s="4" t="inlineStr">
        <is>
          <t>10:00</t>
        </is>
      </c>
      <c r="D13" s="5" t="inlineStr">
        <is>
          <t>Польза</t>
        </is>
      </c>
      <c r="E13" s="6" t="inlineStr">
        <is>
          <t>5 вопросов тренеру на собеседовании</t>
        </is>
      </c>
      <c r="F13" s="7" t="inlineStr">
        <is>
          <t>Карусель 7 сл. · CTA: сохраните к найму</t>
        </is>
      </c>
      <c r="G13" s="8" t="inlineStr">
        <is>
          <t>Карусель + текст · CTA: сессия Team на сайте</t>
        </is>
      </c>
      <c r="H13" s="9" t="inlineStr">
        <is>
          <t>Пост с вопросами полностью</t>
        </is>
      </c>
      <c r="I13" s="10" t="inlineStr">
        <is>
          <t>«Ваш главный вопрос на собеседовании тренера?»</t>
        </is>
      </c>
      <c r="J13" s="11" t="inlineStr">
        <is>
          <t>Обложка + стикер «Вопрос» · отсчёт 23</t>
        </is>
      </c>
      <c r="K13" s="4" t="inlineStr">
        <is>
          <t>Нужно</t>
        </is>
      </c>
      <c r="L13" s="4" t="inlineStr">
        <is>
          <t>Нужно</t>
        </is>
      </c>
      <c r="M13" s="4" t="inlineStr">
        <is>
          <t>Нужно</t>
        </is>
      </c>
      <c r="N13" s="4" t="inlineStr">
        <is>
          <t>Нужно</t>
        </is>
      </c>
      <c r="O13" s="4" t="inlineStr">
        <is>
          <t>Нужно</t>
        </is>
      </c>
      <c r="P13" s="4">
        <f>IF(COUNTIF(K13:O13,"Нужно")=0,"Всё выложено","Осталось: "&amp;COUNTIF(K13:O13,"Нужно"))</f>
        <v/>
      </c>
      <c r="Q13" s="5" t="inlineStr">
        <is>
          <t>content/nedeli-3-4_12.10-25.10/10-sr-21.10-sobesedovanie-trenera</t>
        </is>
      </c>
    </row>
    <row r="14" ht="78" customHeight="1">
      <c r="A14" s="4" t="inlineStr">
        <is>
          <t>22.10</t>
        </is>
      </c>
      <c r="B14" s="4" t="inlineStr">
        <is>
          <t>Чт</t>
        </is>
      </c>
      <c r="C14" s="4" t="inlineStr">
        <is>
          <t>19:00</t>
        </is>
      </c>
      <c r="D14" s="5" t="inlineStr">
        <is>
          <t>Мем + рилс</t>
        </is>
      </c>
      <c r="E14" s="6" t="inlineStr">
        <is>
          <t>Уровни владельца + рилс «Hot Seat»</t>
        </is>
      </c>
      <c r="F14" s="7" t="inlineStr">
        <is>
          <t>Мем + рилс под трендовый звук · CTA: ссылка в профиле</t>
        </is>
      </c>
      <c r="G14" s="8" t="inlineStr">
        <is>
          <t>Мем + клип · CTA: ссылка на сайт</t>
        </is>
      </c>
      <c r="H14" s="9" t="inlineStr">
        <is>
          <t>Мем + рилс</t>
        </is>
      </c>
      <c r="I14" s="10" t="inlineStr">
        <is>
          <t>«Какой вопрос вы бы задали на Hot Seat, если бы никто не узнал, что это вы?»</t>
        </is>
      </c>
      <c r="J14" s="11" t="inlineStr">
        <is>
          <t>Мем + шкала уровней · репост рилса · отсчёт 22</t>
        </is>
      </c>
      <c r="K14" s="4" t="inlineStr">
        <is>
          <t>Нужно</t>
        </is>
      </c>
      <c r="L14" s="4" t="inlineStr">
        <is>
          <t>Нужно</t>
        </is>
      </c>
      <c r="M14" s="4" t="inlineStr">
        <is>
          <t>Нужно</t>
        </is>
      </c>
      <c r="N14" s="4" t="inlineStr">
        <is>
          <t>Нужно</t>
        </is>
      </c>
      <c r="O14" s="4" t="inlineStr">
        <is>
          <t>Нужно</t>
        </is>
      </c>
      <c r="P14" s="4">
        <f>IF(COUNTIF(K14:O14,"Нужно")=0,"Всё выложено","Осталось: "&amp;COUNTIF(K14:O14,"Нужно"))</f>
        <v/>
      </c>
      <c r="Q14" s="5" t="inlineStr">
        <is>
          <t>content/nedeli-3-4_12.10-25.10/11-cht-22.10-mem-urovni</t>
        </is>
      </c>
    </row>
    <row r="15" ht="78" customHeight="1">
      <c r="A15" s="4" t="inlineStr">
        <is>
          <t>23.10</t>
        </is>
      </c>
      <c r="B15" s="4" t="inlineStr">
        <is>
          <t>Пт</t>
        </is>
      </c>
      <c r="C15" s="4" t="inlineStr">
        <is>
          <t>10:00</t>
        </is>
      </c>
      <c r="D15" s="5" t="inlineStr">
        <is>
          <t>Форум · заявки</t>
        </is>
      </c>
      <c r="E15" s="6" t="inlineStr">
        <is>
          <t>Business Live: подайте бизнес на разбор</t>
        </is>
      </c>
      <c r="F15" s="7" t="inlineStr">
        <is>
          <t>Карусель 4 сл. · CTA: заявка по ссылке в профиле</t>
        </is>
      </c>
      <c r="G15" s="8" t="inlineStr">
        <is>
          <t>Карусель + текст · CTA: заявка на сайте (#business-live)</t>
        </is>
      </c>
      <c r="H15" s="9" t="inlineStr">
        <is>
          <t>Пост: как работает разбор, даты, ссылка на заявку — закрепить</t>
        </is>
      </c>
      <c r="I15" s="10" t="inlineStr">
        <is>
          <t>«Кто подаёт бизнес на разбор? Вопросы по заявке — сюда»</t>
        </is>
      </c>
      <c r="J15" s="11" t="inlineStr">
        <is>
          <t>Обложка + стикер-ссылка на заявку · отсчёт 21</t>
        </is>
      </c>
      <c r="K15" s="4" t="inlineStr">
        <is>
          <t>Нужно</t>
        </is>
      </c>
      <c r="L15" s="4" t="inlineStr">
        <is>
          <t>Нужно</t>
        </is>
      </c>
      <c r="M15" s="4" t="inlineStr">
        <is>
          <t>Нужно</t>
        </is>
      </c>
      <c r="N15" s="4" t="inlineStr">
        <is>
          <t>Нужно</t>
        </is>
      </c>
      <c r="O15" s="4" t="inlineStr">
        <is>
          <t>Нужно</t>
        </is>
      </c>
      <c r="P15" s="4">
        <f>IF(COUNTIF(K15:O15,"Нужно")=0,"Всё выложено","Осталось: "&amp;COUNTIF(K15:O15,"Нужно"))</f>
        <v/>
      </c>
      <c r="Q15" s="5" t="inlineStr">
        <is>
          <t>content/nedeli-3-4_12.10-25.10/12-pt-23.10-business-live</t>
        </is>
      </c>
    </row>
    <row r="16" ht="78" customHeight="1">
      <c r="A16" s="12" t="inlineStr">
        <is>
          <t>24.10</t>
        </is>
      </c>
      <c r="B16" s="12" t="inlineStr">
        <is>
          <t>Сб</t>
        </is>
      </c>
      <c r="C16" s="12" t="inlineStr">
        <is>
          <t>12:00</t>
        </is>
      </c>
      <c r="D16" s="5" t="inlineStr">
        <is>
          <t>Продажа</t>
        </is>
      </c>
      <c r="E16" s="6" t="inlineStr">
        <is>
          <t>Вы покупаете не билет + стартовая цена для первых 50</t>
        </is>
      </c>
      <c r="F16" s="7" t="inlineStr">
        <is>
          <t>Карусель 4 сл. · CTA: забронировать (ссылка в профиле)</t>
        </is>
      </c>
      <c r="G16" s="8" t="inlineStr">
        <is>
          <t>Карусель + текст · CTA: забронировать (#tickets)</t>
        </is>
      </c>
      <c r="H16" s="9" t="inlineStr">
        <is>
          <t>Пост: что входит, пакеты 3 и 5, стартовая цена — важная информация</t>
        </is>
      </c>
      <c r="I16" s="10" t="inlineStr">
        <is>
          <t>«Едете командой? Ищем, с кем объединиться в пакет на 3 или 5 человек»</t>
        </is>
      </c>
      <c r="J16" s="11" t="inlineStr">
        <is>
          <t>Зубр + стикер-ссылка «Забронировать» · отсчёт 20</t>
        </is>
      </c>
      <c r="K16" s="4" t="inlineStr">
        <is>
          <t>Нужно</t>
        </is>
      </c>
      <c r="L16" s="4" t="inlineStr">
        <is>
          <t>Нужно</t>
        </is>
      </c>
      <c r="M16" s="4" t="inlineStr">
        <is>
          <t>Нужно</t>
        </is>
      </c>
      <c r="N16" s="4" t="inlineStr">
        <is>
          <t>Нужно</t>
        </is>
      </c>
      <c r="O16" s="4" t="inlineStr">
        <is>
          <t>Нужно</t>
        </is>
      </c>
      <c r="P16" s="4">
        <f>IF(COUNTIF(K16:O16,"Нужно")=0,"Всё выложено","Осталось: "&amp;COUNTIF(K16:O16,"Нужно"))</f>
        <v/>
      </c>
      <c r="Q16" s="5" t="inlineStr">
        <is>
          <t>content/nedeli-3-4_12.10-25.10/13-sb-24.10-ne-bilet</t>
        </is>
      </c>
    </row>
    <row r="17" ht="78" customHeight="1">
      <c r="A17" s="12" t="inlineStr">
        <is>
          <t>25.10</t>
        </is>
      </c>
      <c r="B17" s="12" t="inlineStr">
        <is>
          <t>Вс</t>
        </is>
      </c>
      <c r="C17" s="12" t="inlineStr">
        <is>
          <t>12:00</t>
        </is>
      </c>
      <c r="D17" s="5" t="inlineStr">
        <is>
          <t>Итоги розыгрыша</t>
        </is>
      </c>
      <c r="E17" s="6" t="inlineStr">
        <is>
          <t>Итоги розыгрыша билета</t>
        </is>
      </c>
      <c r="F17" s="7" t="inlineStr">
        <is>
          <t>Картинка-победитель · CTA: стартовая цена для первых 50</t>
        </is>
      </c>
      <c r="G17" s="8" t="inlineStr">
        <is>
          <t>Картинка · CTA: забронировать (#tickets)</t>
        </is>
      </c>
      <c r="H17" s="9" t="inlineStr">
        <is>
          <t>Пост-итоги + видео выбора победителя</t>
        </is>
      </c>
      <c r="I17" s="10" t="inlineStr">
        <is>
          <t>Поздравляем победителя + итоги двух недель</t>
        </is>
      </c>
      <c r="J17" s="11" t="inlineStr">
        <is>
          <t>Сторис-победитель + отметка · отсчёт 19</t>
        </is>
      </c>
      <c r="K17" s="4" t="inlineStr">
        <is>
          <t>Нужно</t>
        </is>
      </c>
      <c r="L17" s="4" t="inlineStr">
        <is>
          <t>Нужно</t>
        </is>
      </c>
      <c r="M17" s="4" t="inlineStr">
        <is>
          <t>Нужно</t>
        </is>
      </c>
      <c r="N17" s="4" t="inlineStr">
        <is>
          <t>Нужно</t>
        </is>
      </c>
      <c r="O17" s="4" t="inlineStr">
        <is>
          <t>Нужно</t>
        </is>
      </c>
      <c r="P17" s="4">
        <f>IF(COUNTIF(K17:O17,"Нужно")=0,"Всё выложено","Осталось: "&amp;COUNTIF(K17:O17,"Нужно"))</f>
        <v/>
      </c>
      <c r="Q17" s="5" t="inlineStr">
        <is>
          <t>content/nedeli-3-4_12.10-25.10/14-vs-25.10-itogi-rozygrysha</t>
        </is>
      </c>
    </row>
  </sheetData>
  <autoFilter ref="A3:Q17"/>
  <mergeCells count="2">
    <mergeCell ref="A2:Q2"/>
    <mergeCell ref="A1:Q1"/>
  </mergeCells>
  <conditionalFormatting sqref="K4:O17">
    <cfRule type="cellIs" priority="1" operator="equal" dxfId="0">
      <formula>"Выложено"</formula>
    </cfRule>
    <cfRule type="cellIs" priority="2" operator="equal" dxfId="1">
      <formula>"Нужно"</formula>
    </cfRule>
  </conditionalFormatting>
  <conditionalFormatting sqref="P4:P17">
    <cfRule type="cellIs" priority="3" operator="equal" dxfId="0">
      <formula>"Всё выложено"</formula>
    </cfRule>
  </conditionalFormatting>
  <dataValidations count="1">
    <dataValidation sqref="K4:O17" showDropDown="0" showInputMessage="0" showErrorMessage="0" allowBlank="1" type="list">
      <formula1>"Нужно,Выложено,—"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6" customWidth="1" min="3" max="3"/>
    <col width="46" customWidth="1" min="4" max="4"/>
    <col width="40" customWidth="1" min="5" max="5"/>
  </cols>
  <sheetData>
    <row r="1" ht="22" customHeight="1">
      <c r="A1" s="13" t="inlineStr">
        <is>
          <t>Площадка</t>
        </is>
      </c>
      <c r="B1" s="13" t="inlineStr">
        <is>
          <t>Роль</t>
        </is>
      </c>
      <c r="C1" s="13" t="inlineStr">
        <is>
          <t>Что выкладываем</t>
        </is>
      </c>
      <c r="D1" s="13" t="inlineStr">
        <is>
          <t>Призыв (CTA)</t>
        </is>
      </c>
      <c r="E1" s="13" t="inlineStr">
        <is>
          <t>Как мерить</t>
        </is>
      </c>
    </row>
    <row r="2" ht="64" customHeight="1">
      <c r="A2" s="14" t="inlineStr">
        <is>
          <t>Instagram</t>
        </is>
      </c>
      <c r="B2" s="15" t="inlineStr">
        <is>
          <t>Привлечение новых людей и лидов</t>
        </is>
      </c>
      <c r="C2" s="15" t="inlineStr">
        <is>
          <t>Карусели-полезняшки, мемы с зубром, рилсы под трендовый звук, сторис каждый день</t>
        </is>
      </c>
      <c r="D2" s="15" t="inlineStr">
        <is>
          <t>Ссылка в профиле на сайт · слово в комментариях → лид-магнит в Telegram · соавторство со спикерами</t>
        </is>
      </c>
      <c r="E2" s="15" t="inlineStr">
        <is>
          <t>Охват, сохранения, переходы по ссылке, заявки с utm_source=instagram</t>
        </is>
      </c>
    </row>
    <row r="3" ht="64" customHeight="1">
      <c r="A3" s="14" t="inlineStr">
        <is>
          <t>VK</t>
        </is>
      </c>
      <c r="B3" s="15" t="inlineStr">
        <is>
          <t>Привлечение новых людей и лидов</t>
        </is>
      </c>
      <c r="C3" s="15" t="inlineStr">
        <is>
          <t>Те же карусели и мемы, клипы, сторис</t>
        </is>
      </c>
      <c r="D3" s="15" t="inlineStr">
        <is>
          <t>Ссылка на сайт (utm_source=vk) · ссылка на Telegram-канал</t>
        </is>
      </c>
      <c r="E3" s="15" t="inlineStr">
        <is>
          <t>Охват, переходы, заявки с utm_source=vk</t>
        </is>
      </c>
    </row>
    <row r="4" ht="64" customHeight="1">
      <c r="A4" s="14" t="inlineStr">
        <is>
          <t>Telegram-канал</t>
        </is>
      </c>
      <c r="B4" s="15" t="inlineStr">
        <is>
          <t>Главная площадка комьюнити и важной информации</t>
        </is>
      </c>
      <c r="C4" s="15" t="inlineStr">
        <is>
          <t>Полные тексты, программа, условия конкурсов, чек-листы, анонсы, опросы</t>
        </is>
      </c>
      <c r="D4" s="15" t="inlineStr">
        <is>
          <t>Ссылка на сайт (utm_source=telegram) · закреп с главным</t>
        </is>
      </c>
      <c r="E4" s="15" t="inlineStr">
        <is>
          <t>Подписчики, просмотры, реакции, заявки с utm_source=telegram</t>
        </is>
      </c>
    </row>
    <row r="5" ht="64" customHeight="1">
      <c r="A5" s="14" t="inlineStr">
        <is>
          <t>Telegram-чат</t>
        </is>
      </c>
      <c r="B5" s="15" t="inlineStr">
        <is>
          <t>Живое общение участников</t>
        </is>
      </c>
      <c r="C5" s="15" t="inlineStr">
        <is>
          <t>Вопрос дня, знакомства, обсуждения, поиск партнёров и попутчиков на форум</t>
        </is>
      </c>
      <c r="D5" s="15" t="inlineStr">
        <is>
          <t>Отвечать, знакомить людей между собой, звать в канал за подробностями</t>
        </is>
      </c>
      <c r="E5" s="15" t="inlineStr">
        <is>
          <t>Сообщения в день, новые участники, кто представился</t>
        </is>
      </c>
    </row>
    <row r="6" ht="64" customHeight="1">
      <c r="A6" s="14" t="inlineStr">
        <is>
          <t>Сторис IG + VK</t>
        </is>
      </c>
      <c r="B6" s="15" t="inlineStr">
        <is>
          <t>Ежедневный контакт</t>
        </is>
      </c>
      <c r="C6" s="15" t="inlineStr">
        <is>
          <t>Отсчёт «До форума N дней», репост поста дня, опросы и вопросы</t>
        </is>
      </c>
      <c r="D6" s="15" t="inlineStr">
        <is>
          <t>Стикер-ссылка на сайт или пост</t>
        </is>
      </c>
      <c r="E6" s="15" t="inlineStr">
        <is>
          <t>Ответы на стикеры, переходы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6" t="inlineStr">
        <is>
          <t>Площадка</t>
        </is>
      </c>
      <c r="B1" s="16" t="inlineStr">
        <is>
          <t>Запланировано</t>
        </is>
      </c>
      <c r="C1" s="16" t="inlineStr">
        <is>
          <t>Выложено</t>
        </is>
      </c>
      <c r="D1" s="16" t="inlineStr">
        <is>
          <t>Осталось</t>
        </is>
      </c>
      <c r="E1" s="16" t="inlineStr">
        <is>
          <t>Прогресс</t>
        </is>
      </c>
    </row>
    <row r="2">
      <c r="A2" t="inlineStr">
        <is>
          <t>Instagram</t>
        </is>
      </c>
      <c r="B2">
        <f>COUNTIF('Расписание 12–25.10'!K4:K17,"Нужно")+COUNTIF('Расписание 12–25.10'!K4:K17,"Выложено")</f>
        <v/>
      </c>
      <c r="C2">
        <f>COUNTIF('Расписание 12–25.10'!K4:K17,"Выложено")</f>
        <v/>
      </c>
      <c r="D2">
        <f>B2-C2</f>
        <v/>
      </c>
      <c r="E2" s="17">
        <f>IF(B2=0,0,C2/B2)</f>
        <v/>
      </c>
    </row>
    <row r="3">
      <c r="A3" t="inlineStr">
        <is>
          <t>VK</t>
        </is>
      </c>
      <c r="B3">
        <f>COUNTIF('Расписание 12–25.10'!L4:L17,"Нужно")+COUNTIF('Расписание 12–25.10'!L4:L17,"Выложено")</f>
        <v/>
      </c>
      <c r="C3">
        <f>COUNTIF('Расписание 12–25.10'!L4:L17,"Выложено")</f>
        <v/>
      </c>
      <c r="D3">
        <f>B3-C3</f>
        <v/>
      </c>
      <c r="E3" s="17">
        <f>IF(B3=0,0,C3/B3)</f>
        <v/>
      </c>
    </row>
    <row r="4">
      <c r="A4" t="inlineStr">
        <is>
          <t>Telegram-канал</t>
        </is>
      </c>
      <c r="B4">
        <f>COUNTIF('Расписание 12–25.10'!M4:M17,"Нужно")+COUNTIF('Расписание 12–25.10'!M4:M17,"Выложено")</f>
        <v/>
      </c>
      <c r="C4">
        <f>COUNTIF('Расписание 12–25.10'!M4:M17,"Выложено")</f>
        <v/>
      </c>
      <c r="D4">
        <f>B4-C4</f>
        <v/>
      </c>
      <c r="E4" s="17">
        <f>IF(B4=0,0,C4/B4)</f>
        <v/>
      </c>
    </row>
    <row r="5">
      <c r="A5" t="inlineStr">
        <is>
          <t>Telegram-чат</t>
        </is>
      </c>
      <c r="B5">
        <f>COUNTIF('Расписание 12–25.10'!N4:N17,"Нужно")+COUNTIF('Расписание 12–25.10'!N4:N17,"Выложено")</f>
        <v/>
      </c>
      <c r="C5">
        <f>COUNTIF('Расписание 12–25.10'!N4:N17,"Выложено")</f>
        <v/>
      </c>
      <c r="D5">
        <f>B5-C5</f>
        <v/>
      </c>
      <c r="E5" s="17">
        <f>IF(B5=0,0,C5/B5)</f>
        <v/>
      </c>
    </row>
    <row r="6">
      <c r="A6" t="inlineStr">
        <is>
          <t>Сторис IG+VK</t>
        </is>
      </c>
      <c r="B6">
        <f>COUNTIF('Расписание 12–25.10'!O4:O17,"Нужно")+COUNTIF('Расписание 12–25.10'!O4:O17,"Выложено")</f>
        <v/>
      </c>
      <c r="C6">
        <f>COUNTIF('Расписание 12–25.10'!O4:O17,"Выложено")</f>
        <v/>
      </c>
      <c r="D6">
        <f>B6-C6</f>
        <v/>
      </c>
      <c r="E6" s="17">
        <f>IF(B6=0,0,C6/B6)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2026-10-10T10:22:48Z</dcterms:created>
  <dcterms:modified xsi:type="dcterms:W3CDTF">2026-10-10T10:22:48Z</dcterms:modified>
</cp:coreProperties>
</file>