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  <sheet name="Сводка" sheetId="2" state="visible" r:id="rId2"/>
    <sheet name="Как пользоваться" sheetId="3" state="visible" r:id="rId3"/>
  </sheets>
  <definedNames>
    <definedName name="_xlnm._FilterDatabase" localSheetId="0" hidden="1">'План'!$A$3:$O$58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0B90B"/>
      <sz val="16"/>
    </font>
    <font>
      <name val="Arial"/>
      <i val="1"/>
      <color rgb="00585D66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F0B90B"/>
      <sz val="14"/>
    </font>
    <font>
      <name val="Arial"/>
      <sz val="11"/>
    </font>
    <font>
      <name val="Arial"/>
      <b val="1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0D0F13"/>
      </patternFill>
    </fill>
  </fills>
  <borders count="3">
    <border>
      <left/>
      <right/>
      <top/>
      <bottom/>
      <diagonal/>
    </border>
    <border>
      <left style="thin">
        <color rgb="00DAD5C6"/>
      </left>
      <right style="thin">
        <color rgb="00DAD5C6"/>
      </right>
      <top style="thin">
        <color rgb="00DAD5C6"/>
      </top>
      <bottom style="thin">
        <color rgb="00DAD5C6"/>
      </bottom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2" borderId="0" pivotButton="0" quotePrefix="0" xfId="0"/>
    <xf numFmtId="0" fontId="3" fillId="2" borderId="0" applyAlignment="1" pivotButton="0" quotePrefix="0" xfId="0">
      <alignment horizontal="center"/>
    </xf>
    <xf numFmtId="0" fontId="7" fillId="0" borderId="1" pivotButton="0" quotePrefix="0" xfId="0"/>
    <xf numFmtId="9" fontId="7" fillId="0" borderId="1" pivotButton="0" quotePrefix="0" xfId="0"/>
    <xf numFmtId="0" fontId="8" fillId="0" borderId="1" pivotButton="0" quotePrefix="0" xfId="0"/>
    <xf numFmtId="9" fontId="8" fillId="0" borderId="1" pivotButton="0" quotePrefix="0" xfId="0"/>
    <xf numFmtId="0" fontId="7" fillId="0" borderId="2" pivotButton="0" quotePrefix="0" xfId="0"/>
    <xf numFmtId="9" fontId="7" fillId="0" borderId="2" pivotButton="0" quotePrefix="0" xfId="0"/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1E6B3A"/>
      </font>
      <fill>
        <patternFill patternType="solid">
          <fgColor rgb="00CDEBD6"/>
        </patternFill>
      </fill>
    </dxf>
    <dxf>
      <font>
        <name val="Arial"/>
        <color rgb="007A5B00"/>
      </font>
      <fill>
        <patternFill patternType="solid">
          <fgColor rgb="00FCEFC2"/>
        </patternFill>
      </fill>
    </dxf>
    <dxf>
      <font>
        <name val="Arial"/>
        <color rgb="00B5B0A3"/>
      </font>
    </dxf>
    <dxf>
      <font>
        <name val="Arial"/>
        <b val="1"/>
        <color rgb="009A2B1A"/>
      </font>
      <fill>
        <patternFill patternType="solid">
          <fgColor rgb="00F9D9D3"/>
        </patternFill>
      </fill>
    </dxf>
    <dxf>
      <font>
        <name val="Arial"/>
        <color rgb="009A9A9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7" customWidth="1" min="12" max="12"/>
    <col width="52" customWidth="1" min="13" max="13"/>
    <col width="38" customWidth="1" min="14" max="14"/>
    <col width="24" customWidth="1" min="15" max="15"/>
  </cols>
  <sheetData>
    <row r="1" ht="30" customHeight="1">
      <c r="A1" s="1" t="inlineStr">
        <is>
          <t>Контент-план РЕШЕНО — что за чем идёт</t>
        </is>
      </c>
    </row>
    <row r="2" ht="32" customHeight="1">
      <c r="A2" s="2" t="inlineStr">
        <is>
          <t>Идём сверху вниз. В колонках площадок выберите «Выложено», когда пост вышел. «—» — на этой площадке не публикуем. Пути к файлам — от папки content/week-01_28.09-04.10/, если не указано иначе (папки reels/, brag-output/, youtube/ — в корне репозитория).</t>
        </is>
      </c>
    </row>
    <row r="3" ht="30" customHeight="1">
      <c r="A3" s="3" t="inlineStr">
        <is>
          <t>№</t>
        </is>
      </c>
      <c r="B3" s="3" t="inlineStr">
        <is>
          <t>Блок</t>
        </is>
      </c>
      <c r="C3" s="3" t="inlineStr">
        <is>
          <t>Что выкладываем</t>
        </is>
      </c>
      <c r="D3" s="3" t="inlineStr">
        <is>
          <t>Формат</t>
        </is>
      </c>
      <c r="E3" s="3" t="inlineStr">
        <is>
          <t>Рубрика</t>
        </is>
      </c>
      <c r="F3" s="3" t="inlineStr">
        <is>
          <t>Telegram</t>
        </is>
      </c>
      <c r="G3" s="3" t="inlineStr">
        <is>
          <t>VK</t>
        </is>
      </c>
      <c r="H3" s="3" t="inlineStr">
        <is>
          <t>Instagram</t>
        </is>
      </c>
      <c r="I3" s="3" t="inlineStr">
        <is>
          <t>YouTube</t>
        </is>
      </c>
      <c r="J3" s="3" t="inlineStr">
        <is>
          <t>TG-чат</t>
        </is>
      </c>
      <c r="K3" s="3" t="inlineStr">
        <is>
          <t>Статус</t>
        </is>
      </c>
      <c r="L3" s="3" t="inlineStr">
        <is>
          <t>Материал</t>
        </is>
      </c>
      <c r="M3" s="3" t="inlineStr">
        <is>
          <t>Где лежит файл</t>
        </is>
      </c>
      <c r="N3" s="3" t="inlineStr">
        <is>
          <t>Что сделать перед публикацией</t>
        </is>
      </c>
      <c r="O3" s="3" t="inlineStr">
        <is>
          <t>Комментарий</t>
        </is>
      </c>
    </row>
    <row r="4">
      <c r="A4" s="4" t="n">
        <v>1</v>
      </c>
      <c r="B4" s="5" t="inlineStr">
        <is>
          <t>1. Запуск</t>
        </is>
      </c>
      <c r="C4" s="6" t="inlineStr">
        <is>
          <t>Первое сообщение канала — «визитка» (что это за канал)</t>
        </is>
      </c>
      <c r="D4" s="5" t="inlineStr">
        <is>
          <t>Пост</t>
        </is>
      </c>
      <c r="E4" s="5" t="inlineStr">
        <is>
          <t>Запуск</t>
        </is>
      </c>
      <c r="F4" s="4" t="inlineStr">
        <is>
          <t>Нужно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>
        <f>IF(COUNTIF(F4:J4,"Нужно")=0,"Готово","Осталось: "&amp;COUNTIF(F4:J4,"Нужно"))</f>
        <v/>
      </c>
      <c r="L4" s="4" t="inlineStr">
        <is>
          <t>Готов</t>
        </is>
      </c>
      <c r="M4" s="5" t="inlineStr">
        <is>
          <t>content/week-01_28.09-04.10/telegram/00-pervoe-soobschenie-kanala.md</t>
        </is>
      </c>
      <c r="N4" s="5" t="inlineStr">
        <is>
          <t>Опубликовать сразу после создания канала</t>
        </is>
      </c>
      <c r="O4" s="5" t="inlineStr"/>
    </row>
    <row r="5">
      <c r="A5" s="4" t="n">
        <v>2</v>
      </c>
      <c r="B5" s="5" t="inlineStr">
        <is>
          <t>1. Запуск</t>
        </is>
      </c>
      <c r="C5" s="6" t="inlineStr">
        <is>
          <t>Манифест «Не просто послушать. Приехать решить.» + закрепить</t>
        </is>
      </c>
      <c r="D5" s="5" t="inlineStr">
        <is>
          <t>Пост + картинка</t>
        </is>
      </c>
      <c r="E5" s="5" t="inlineStr">
        <is>
          <t>Манифест</t>
        </is>
      </c>
      <c r="F5" s="4" t="inlineStr">
        <is>
          <t>Нужно</t>
        </is>
      </c>
      <c r="G5" s="4" t="inlineStr">
        <is>
          <t>Нужно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4">
        <f>IF(COUNTIF(F5:J5,"Нужно")=0,"Готово","Осталось: "&amp;COUNTIF(F5:J5,"Нужно"))</f>
        <v/>
      </c>
      <c r="L5" s="4" t="inlineStr">
        <is>
          <t>Готов</t>
        </is>
      </c>
      <c r="M5" s="5" t="inlineStr">
        <is>
          <t>telegram/1-pn-28.09-manifest.md · vk/1-pn-28.09-manifest/cover.png</t>
        </is>
      </c>
      <c r="N5" s="5" t="inlineStr">
        <is>
          <t>Подставить ссылку на канал в VK-версии</t>
        </is>
      </c>
      <c r="O5" s="5" t="inlineStr"/>
    </row>
    <row r="6">
      <c r="A6" s="4" t="n">
        <v>3</v>
      </c>
      <c r="B6" s="5" t="inlineStr">
        <is>
          <t>1. Запуск</t>
        </is>
      </c>
      <c r="C6" s="6" t="inlineStr">
        <is>
          <t>Рассылка по базе ассоциации со ссылкой на канал</t>
        </is>
      </c>
      <c r="D6" s="5" t="inlineStr">
        <is>
          <t>Рассылка</t>
        </is>
      </c>
      <c r="E6" s="5" t="inlineStr">
        <is>
          <t>Привлечение</t>
        </is>
      </c>
      <c r="F6" s="4" t="inlineStr">
        <is>
          <t>Нужно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>
        <f>IF(COUNTIF(F6:J6,"Нужно")=0,"Готово","Осталось: "&amp;COUNTIF(F6:J6,"Нужно"))</f>
        <v/>
      </c>
      <c r="L6" s="4" t="inlineStr">
        <is>
          <t>Готов</t>
        </is>
      </c>
      <c r="M6" s="5" t="inlineStr">
        <is>
          <t>telegram/0-rassylka-po-baze-associacii.md</t>
        </is>
      </c>
      <c r="N6" s="5" t="inlineStr">
        <is>
          <t>От имени Р. А. Прокопьева; вставить ссылку на канал</t>
        </is>
      </c>
      <c r="O6" s="5" t="inlineStr"/>
    </row>
    <row r="7">
      <c r="A7" s="4" t="n">
        <v>4</v>
      </c>
      <c r="B7" s="5" t="inlineStr">
        <is>
          <t>1. Запуск</t>
        </is>
      </c>
      <c r="C7" s="6" t="inlineStr">
        <is>
          <t>Карусель «Не просто послушать» (6 слайдов)</t>
        </is>
      </c>
      <c r="D7" s="5" t="inlineStr">
        <is>
          <t>Карусель</t>
        </is>
      </c>
      <c r="E7" s="5" t="inlineStr">
        <is>
          <t>Манифест</t>
        </is>
      </c>
      <c r="F7" s="4" t="inlineStr">
        <is>
          <t>—</t>
        </is>
      </c>
      <c r="G7" s="4" t="inlineStr">
        <is>
          <t>Нужно</t>
        </is>
      </c>
      <c r="H7" s="4" t="inlineStr">
        <is>
          <t>Нужно</t>
        </is>
      </c>
      <c r="I7" s="4" t="inlineStr">
        <is>
          <t>—</t>
        </is>
      </c>
      <c r="J7" s="4" t="inlineStr">
        <is>
          <t>—</t>
        </is>
      </c>
      <c r="K7" s="4">
        <f>IF(COUNTIF(F7:J7,"Нужно")=0,"Готово","Осталось: "&amp;COUNTIF(F7:J7,"Нужно"))</f>
        <v/>
      </c>
      <c r="L7" s="4" t="inlineStr">
        <is>
          <t>Готов</t>
        </is>
      </c>
      <c r="M7" s="5" t="inlineStr">
        <is>
          <t>instagram/1-pn-28.09-karusel-manifest/ (slide-1…6 + podpis.md)</t>
        </is>
      </c>
      <c r="N7" s="5" t="inlineStr"/>
      <c r="O7" s="5" t="inlineStr"/>
    </row>
    <row r="8">
      <c r="A8" s="4" t="n">
        <v>5</v>
      </c>
      <c r="B8" s="5" t="inlineStr">
        <is>
          <t>1. Запуск</t>
        </is>
      </c>
      <c r="C8" s="6" t="inlineStr">
        <is>
          <t>Сторис «Мы запустились» + ссылка на канал</t>
        </is>
      </c>
      <c r="D8" s="5" t="inlineStr">
        <is>
          <t>Сторис</t>
        </is>
      </c>
      <c r="E8" s="5" t="inlineStr">
        <is>
          <t>Запуск</t>
        </is>
      </c>
      <c r="F8" s="4" t="inlineStr">
        <is>
          <t>—</t>
        </is>
      </c>
      <c r="G8" s="4" t="inlineStr">
        <is>
          <t>Нужно</t>
        </is>
      </c>
      <c r="H8" s="4" t="inlineStr">
        <is>
          <t>Нужно</t>
        </is>
      </c>
      <c r="I8" s="4" t="inlineStr">
        <is>
          <t>—</t>
        </is>
      </c>
      <c r="J8" s="4" t="inlineStr">
        <is>
          <t>—</t>
        </is>
      </c>
      <c r="K8" s="4">
        <f>IF(COUNTIF(F8:J8,"Нужно")=0,"Готово","Осталось: "&amp;COUNTIF(F8:J8,"Нужно"))</f>
        <v/>
      </c>
      <c r="L8" s="4" t="inlineStr">
        <is>
          <t>Готов</t>
        </is>
      </c>
      <c r="M8" s="5" t="inlineStr">
        <is>
          <t>instagram/stories/1-pn-28.09-*.png</t>
        </is>
      </c>
      <c r="N8" s="5" t="inlineStr">
        <is>
          <t>Добавить стикер-ссылку на канал</t>
        </is>
      </c>
      <c r="O8" s="5" t="inlineStr"/>
    </row>
    <row r="9">
      <c r="A9" s="4" t="n">
        <v>6</v>
      </c>
      <c r="B9" s="5" t="inlineStr">
        <is>
          <t>1. Запуск</t>
        </is>
      </c>
      <c r="C9" s="6" t="inlineStr">
        <is>
          <t>Промо-ролик форума (горизонтальный, 23 с)</t>
        </is>
      </c>
      <c r="D9" s="5" t="inlineStr">
        <is>
          <t>Видео</t>
        </is>
      </c>
      <c r="E9" s="5" t="inlineStr">
        <is>
          <t>Промо</t>
        </is>
      </c>
      <c r="F9" s="4" t="inlineStr">
        <is>
          <t>Нужно</t>
        </is>
      </c>
      <c r="G9" s="4" t="inlineStr">
        <is>
          <t>Нужно</t>
        </is>
      </c>
      <c r="H9" s="4" t="inlineStr">
        <is>
          <t>—</t>
        </is>
      </c>
      <c r="I9" s="4" t="inlineStr">
        <is>
          <t>Нужно</t>
        </is>
      </c>
      <c r="J9" s="4" t="inlineStr">
        <is>
          <t>—</t>
        </is>
      </c>
      <c r="K9" s="4">
        <f>IF(COUNTIF(F9:J9,"Нужно")=0,"Готово","Осталось: "&amp;COUNTIF(F9:J9,"Нужно"))</f>
        <v/>
      </c>
      <c r="L9" s="4" t="inlineStr">
        <is>
          <t>Готов</t>
        </is>
      </c>
      <c r="M9" s="5" t="inlineStr">
        <is>
          <t>brag-output/brag.mp4</t>
        </is>
      </c>
      <c r="N9" s="5" t="inlineStr">
        <is>
          <t>В ролике есть дата 13–14 ноября — проверить, что актуально</t>
        </is>
      </c>
      <c r="O9" s="5" t="inlineStr"/>
    </row>
    <row r="10">
      <c r="A10" s="4" t="n">
        <v>7</v>
      </c>
      <c r="B10" s="5" t="inlineStr">
        <is>
          <t>1. Запуск</t>
        </is>
      </c>
      <c r="C10" s="6" t="inlineStr">
        <is>
          <t>Дерзкий вертикальный промо «Не ещё одна конференция»</t>
        </is>
      </c>
      <c r="D10" s="5" t="inlineStr">
        <is>
          <t>Рилс</t>
        </is>
      </c>
      <c r="E10" s="5" t="inlineStr">
        <is>
          <t>Промо</t>
        </is>
      </c>
      <c r="F10" s="4" t="inlineStr">
        <is>
          <t>Нужно</t>
        </is>
      </c>
      <c r="G10" s="4" t="inlineStr">
        <is>
          <t>Нужно</t>
        </is>
      </c>
      <c r="H10" s="4" t="inlineStr">
        <is>
          <t>Нужно</t>
        </is>
      </c>
      <c r="I10" s="4" t="inlineStr">
        <is>
          <t>—</t>
        </is>
      </c>
      <c r="J10" s="4" t="inlineStr">
        <is>
          <t>—</t>
        </is>
      </c>
      <c r="K10" s="4">
        <f>IF(COUNTIF(F10:J10,"Нужно")=0,"Готово","Осталось: "&amp;COUNTIF(F10:J10,"Нужно"))</f>
        <v/>
      </c>
      <c r="L10" s="4" t="inlineStr">
        <is>
          <t>Готов</t>
        </is>
      </c>
      <c r="M10" s="5" t="inlineStr">
        <is>
          <t>brag-output/brag-vertical.mp4</t>
        </is>
      </c>
      <c r="N10" s="5" t="inlineStr">
        <is>
          <t>В ролике дата и «стартовая цена для первых 50» — проверить</t>
        </is>
      </c>
      <c r="O10" s="5" t="inlineStr"/>
    </row>
    <row r="11">
      <c r="A11" s="4" t="n">
        <v>8</v>
      </c>
      <c r="B11" s="5" t="inlineStr">
        <is>
          <t>2. Кто мы</t>
        </is>
      </c>
      <c r="C11" s="6" t="inlineStr">
        <is>
          <t>Видеообращение Р. А. Прокопьева «Зачем мы делаем РЕШЕНО»</t>
        </is>
      </c>
      <c r="D11" s="5" t="inlineStr">
        <is>
          <t>Видео / рилс</t>
        </is>
      </c>
      <c r="E11" s="5" t="inlineStr">
        <is>
          <t>Организатор</t>
        </is>
      </c>
      <c r="F11" s="4" t="inlineStr">
        <is>
          <t>Нужно</t>
        </is>
      </c>
      <c r="G11" s="4" t="inlineStr">
        <is>
          <t>Нужно</t>
        </is>
      </c>
      <c r="H11" s="4" t="inlineStr">
        <is>
          <t>Нужно</t>
        </is>
      </c>
      <c r="I11" s="4" t="inlineStr">
        <is>
          <t>—</t>
        </is>
      </c>
      <c r="J11" s="4" t="inlineStr">
        <is>
          <t>—</t>
        </is>
      </c>
      <c r="K11" s="4">
        <f>IF(COUNTIF(F11:J11,"Нужно")=0,"Готово","Осталось: "&amp;COUNTIF(F11:J11,"Нужно"))</f>
        <v/>
      </c>
      <c r="L11" s="4" t="inlineStr">
        <is>
          <t>Нужно снять</t>
        </is>
      </c>
      <c r="M11" s="5" t="inlineStr">
        <is>
          <t>Сценарий: instagram/2-vt-29.09-rils-organizator/scenariy.md · обложка там же</t>
        </is>
      </c>
      <c r="N11" s="5" t="inlineStr">
        <is>
          <t>Снять 30–45 с вертикально, с субтитрами</t>
        </is>
      </c>
      <c r="O11" s="5" t="inlineStr"/>
    </row>
    <row r="12">
      <c r="A12" s="4" t="n">
        <v>9</v>
      </c>
      <c r="B12" s="5" t="inlineStr">
        <is>
          <t>2. Кто мы</t>
        </is>
      </c>
      <c r="C12" s="6" t="inlineStr">
        <is>
          <t>Сторис «Готовим РЕШЕНО» + опрос «Были на форуме, который помог?»</t>
        </is>
      </c>
      <c r="D12" s="5" t="inlineStr">
        <is>
          <t>Сторис</t>
        </is>
      </c>
      <c r="E12" s="5" t="inlineStr">
        <is>
          <t>Закулисье</t>
        </is>
      </c>
      <c r="F12" s="4" t="inlineStr">
        <is>
          <t>—</t>
        </is>
      </c>
      <c r="G12" s="4" t="inlineStr">
        <is>
          <t>Нужно</t>
        </is>
      </c>
      <c r="H12" s="4" t="inlineStr">
        <is>
          <t>Нужно</t>
        </is>
      </c>
      <c r="I12" s="4" t="inlineStr">
        <is>
          <t>—</t>
        </is>
      </c>
      <c r="J12" s="4" t="inlineStr">
        <is>
          <t>—</t>
        </is>
      </c>
      <c r="K12" s="4">
        <f>IF(COUNTIF(F12:J12,"Нужно")=0,"Готово","Осталось: "&amp;COUNTIF(F12:J12,"Нужно"))</f>
        <v/>
      </c>
      <c r="L12" s="4" t="inlineStr">
        <is>
          <t>Нужно сделать</t>
        </is>
      </c>
      <c r="M12" s="5" t="inlineStr">
        <is>
          <t>instagram/stories/2-vt-*.png</t>
        </is>
      </c>
      <c r="N12" s="5" t="inlineStr">
        <is>
          <t>Нужно фото команды в рамку</t>
        </is>
      </c>
      <c r="O12" s="5" t="inlineStr"/>
    </row>
    <row r="13">
      <c r="A13" s="4" t="n">
        <v>10</v>
      </c>
      <c r="B13" s="5" t="inlineStr">
        <is>
          <t>3. Атмосфера</t>
        </is>
      </c>
      <c r="C13" s="6" t="inlineStr">
        <is>
          <t>Рилс «Полный зал»</t>
        </is>
      </c>
      <c r="D13" s="5" t="inlineStr">
        <is>
          <t>Рилс</t>
        </is>
      </c>
      <c r="E13" s="5" t="inlineStr">
        <is>
          <t>Атмосфера</t>
        </is>
      </c>
      <c r="F13" s="4" t="inlineStr">
        <is>
          <t>Нужно</t>
        </is>
      </c>
      <c r="G13" s="4" t="inlineStr">
        <is>
          <t>Нужно</t>
        </is>
      </c>
      <c r="H13" s="4" t="inlineStr">
        <is>
          <t>Нужно</t>
        </is>
      </c>
      <c r="I13" s="4" t="inlineStr">
        <is>
          <t>—</t>
        </is>
      </c>
      <c r="J13" s="4" t="inlineStr">
        <is>
          <t>—</t>
        </is>
      </c>
      <c r="K13" s="4">
        <f>IF(COUNTIF(F13:J13,"Нужно")=0,"Готово","Осталось: "&amp;COUNTIF(F13:J13,"Нужно"))</f>
        <v/>
      </c>
      <c r="L13" s="4" t="inlineStr">
        <is>
          <t>Готов</t>
        </is>
      </c>
      <c r="M13" s="5" t="inlineStr">
        <is>
          <t>reels/reel1-polnyy-zal.mp4 (без музыки: reels/bez-muzyki/)</t>
        </is>
      </c>
      <c r="N13" s="5" t="inlineStr">
        <is>
          <t>Подпись — reels/README.md</t>
        </is>
      </c>
      <c r="O13" s="5" t="inlineStr"/>
    </row>
    <row r="14">
      <c r="A14" s="4" t="n">
        <v>11</v>
      </c>
      <c r="B14" s="5" t="inlineStr">
        <is>
          <t>3. Атмосфера</t>
        </is>
      </c>
      <c r="C14" s="6" t="inlineStr">
        <is>
          <t>Рилс «Как это выглядит» — день форума</t>
        </is>
      </c>
      <c r="D14" s="5" t="inlineStr">
        <is>
          <t>Рилс</t>
        </is>
      </c>
      <c r="E14" s="5" t="inlineStr">
        <is>
          <t>Атмосфера</t>
        </is>
      </c>
      <c r="F14" s="4" t="inlineStr">
        <is>
          <t>Нужно</t>
        </is>
      </c>
      <c r="G14" s="4" t="inlineStr">
        <is>
          <t>Нужно</t>
        </is>
      </c>
      <c r="H14" s="4" t="inlineStr">
        <is>
          <t>Нужно</t>
        </is>
      </c>
      <c r="I14" s="4" t="inlineStr">
        <is>
          <t>—</t>
        </is>
      </c>
      <c r="J14" s="4" t="inlineStr">
        <is>
          <t>—</t>
        </is>
      </c>
      <c r="K14" s="4">
        <f>IF(COUNTIF(F14:J14,"Нужно")=0,"Готово","Осталось: "&amp;COUNTIF(F14:J14,"Нужно"))</f>
        <v/>
      </c>
      <c r="L14" s="4" t="inlineStr">
        <is>
          <t>Готов</t>
        </is>
      </c>
      <c r="M14" s="5" t="inlineStr">
        <is>
          <t>reels/reel2-kak-eto-vyglyadit.mp4</t>
        </is>
      </c>
      <c r="N14" s="5" t="inlineStr"/>
      <c r="O14" s="5" t="inlineStr"/>
    </row>
    <row r="15">
      <c r="A15" s="4" t="n">
        <v>12</v>
      </c>
      <c r="B15" s="5" t="inlineStr">
        <is>
          <t>4. Вопросы бизнеса</t>
        </is>
      </c>
      <c r="C15" s="6" t="inlineStr">
        <is>
          <t>Пост «5 вопросов, ради которых стоит приехать» + карточка</t>
        </is>
      </c>
      <c r="D15" s="5" t="inlineStr">
        <is>
          <t>Пост + картинка</t>
        </is>
      </c>
      <c r="E15" s="5" t="inlineStr">
        <is>
          <t>5 вопросов</t>
        </is>
      </c>
      <c r="F15" s="4" t="inlineStr">
        <is>
          <t>Нужно</t>
        </is>
      </c>
      <c r="G15" s="4" t="inlineStr">
        <is>
          <t>Нужно</t>
        </is>
      </c>
      <c r="H15" s="4" t="inlineStr">
        <is>
          <t>—</t>
        </is>
      </c>
      <c r="I15" s="4" t="inlineStr">
        <is>
          <t>—</t>
        </is>
      </c>
      <c r="J15" s="4" t="inlineStr">
        <is>
          <t>—</t>
        </is>
      </c>
      <c r="K15" s="4">
        <f>IF(COUNTIF(F15:J15,"Нужно")=0,"Готово","Осталось: "&amp;COUNTIF(F15:J15,"Нужно"))</f>
        <v/>
      </c>
      <c r="L15" s="4" t="inlineStr">
        <is>
          <t>Готов</t>
        </is>
      </c>
      <c r="M15" s="5" t="inlineStr">
        <is>
          <t>telegram/3-sr-30.09-5-voprosov.md · vk/3-sr-30.09-5-voprosov/</t>
        </is>
      </c>
      <c r="N15" s="5" t="inlineStr"/>
      <c r="O15" s="5" t="inlineStr"/>
    </row>
    <row r="16">
      <c r="A16" s="4" t="n">
        <v>13</v>
      </c>
      <c r="B16" s="5" t="inlineStr">
        <is>
          <t>4. Вопросы бизнеса</t>
        </is>
      </c>
      <c r="C16" s="6" t="inlineStr">
        <is>
          <t>Карусель «5 вопросов» (7 слайдов)</t>
        </is>
      </c>
      <c r="D16" s="5" t="inlineStr">
        <is>
          <t>Карусель</t>
        </is>
      </c>
      <c r="E16" s="5" t="inlineStr">
        <is>
          <t>5 вопросов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Нужно</t>
        </is>
      </c>
      <c r="I16" s="4" t="inlineStr">
        <is>
          <t>—</t>
        </is>
      </c>
      <c r="J16" s="4" t="inlineStr">
        <is>
          <t>—</t>
        </is>
      </c>
      <c r="K16" s="4">
        <f>IF(COUNTIF(F16:J16,"Нужно")=0,"Готово","Осталось: "&amp;COUNTIF(F16:J16,"Нужно"))</f>
        <v/>
      </c>
      <c r="L16" s="4" t="inlineStr">
        <is>
          <t>Готов</t>
        </is>
      </c>
      <c r="M16" s="5" t="inlineStr">
        <is>
          <t>instagram/3-sr-30.09-karusel-5-voprosov/</t>
        </is>
      </c>
      <c r="N16" s="5" t="inlineStr"/>
      <c r="O16" s="5" t="inlineStr"/>
    </row>
    <row r="17">
      <c r="A17" s="4" t="n">
        <v>14</v>
      </c>
      <c r="B17" s="5" t="inlineStr">
        <is>
          <t>4. Вопросы бизнеса</t>
        </is>
      </c>
      <c r="C17" s="6" t="inlineStr">
        <is>
          <t>Сторис со стикером-вопросом «Какой вопрос не даёт покоя?»</t>
        </is>
      </c>
      <c r="D17" s="5" t="inlineStr">
        <is>
          <t>Сторис</t>
        </is>
      </c>
      <c r="E17" s="5" t="inlineStr">
        <is>
          <t>5 вопросов</t>
        </is>
      </c>
      <c r="F17" s="4" t="inlineStr">
        <is>
          <t>—</t>
        </is>
      </c>
      <c r="G17" s="4" t="inlineStr">
        <is>
          <t>Нужно</t>
        </is>
      </c>
      <c r="H17" s="4" t="inlineStr">
        <is>
          <t>Нужно</t>
        </is>
      </c>
      <c r="I17" s="4" t="inlineStr">
        <is>
          <t>—</t>
        </is>
      </c>
      <c r="J17" s="4" t="inlineStr">
        <is>
          <t>—</t>
        </is>
      </c>
      <c r="K17" s="4">
        <f>IF(COUNTIF(F17:J17,"Нужно")=0,"Готово","Осталось: "&amp;COUNTIF(F17:J17,"Нужно"))</f>
        <v/>
      </c>
      <c r="L17" s="4" t="inlineStr">
        <is>
          <t>Готов</t>
        </is>
      </c>
      <c r="M17" s="5" t="inlineStr">
        <is>
          <t>instagram/stories/3-sr-30.09-vopros.png</t>
        </is>
      </c>
      <c r="N17" s="5" t="inlineStr">
        <is>
          <t>Добавить стикер-вопрос</t>
        </is>
      </c>
      <c r="O17" s="5" t="inlineStr"/>
    </row>
    <row r="18">
      <c r="A18" s="4" t="n">
        <v>15</v>
      </c>
      <c r="B18" s="5" t="inlineStr">
        <is>
          <t>4. Вопросы бизнеса</t>
        </is>
      </c>
      <c r="C18" s="6" t="inlineStr">
        <is>
          <t>Опрос «Что мешает бизнесу расти?» (5 вариантов)</t>
        </is>
      </c>
      <c r="D18" s="5" t="inlineStr">
        <is>
          <t>Опрос</t>
        </is>
      </c>
      <c r="E18" s="5" t="inlineStr">
        <is>
          <t>Опрос</t>
        </is>
      </c>
      <c r="F18" s="4" t="inlineStr">
        <is>
          <t>Нужно</t>
        </is>
      </c>
      <c r="G18" s="4" t="inlineStr">
        <is>
          <t>Нужно</t>
        </is>
      </c>
      <c r="H18" s="4" t="inlineStr">
        <is>
          <t>Нужно</t>
        </is>
      </c>
      <c r="I18" s="4" t="inlineStr">
        <is>
          <t>—</t>
        </is>
      </c>
      <c r="J18" s="4" t="inlineStr">
        <is>
          <t>—</t>
        </is>
      </c>
      <c r="K18" s="4">
        <f>IF(COUNTIF(F18:J18,"Нужно")=0,"Готово","Осталось: "&amp;COUNTIF(F18:J18,"Нужно"))</f>
        <v/>
      </c>
      <c r="L18" s="4" t="inlineStr">
        <is>
          <t>Готов</t>
        </is>
      </c>
      <c r="M18" s="5" t="inlineStr">
        <is>
          <t>telegram/4-cht-01.10-opros.md · vk/4-cht-01.10-opros/ · stories/4-cht-*</t>
        </is>
      </c>
      <c r="N18" s="5" t="inlineStr">
        <is>
          <t>Переслать опрос в чаты ассоциации</t>
        </is>
      </c>
      <c r="O18" s="5" t="inlineStr"/>
    </row>
    <row r="19">
      <c r="A19" s="4" t="n">
        <v>16</v>
      </c>
      <c r="B19" s="5" t="inlineStr">
        <is>
          <t>3. Атмосфера</t>
        </is>
      </c>
      <c r="C19" s="6" t="inlineStr">
        <is>
          <t>Рилс «Сцена» — «Минимум сцены. Максимум разбора.»</t>
        </is>
      </c>
      <c r="D19" s="5" t="inlineStr">
        <is>
          <t>Рилс</t>
        </is>
      </c>
      <c r="E19" s="5" t="inlineStr">
        <is>
          <t>Атмосфера</t>
        </is>
      </c>
      <c r="F19" s="4" t="inlineStr">
        <is>
          <t>Нужно</t>
        </is>
      </c>
      <c r="G19" s="4" t="inlineStr">
        <is>
          <t>Нужно</t>
        </is>
      </c>
      <c r="H19" s="4" t="inlineStr">
        <is>
          <t>Нужно</t>
        </is>
      </c>
      <c r="I19" s="4" t="inlineStr">
        <is>
          <t>—</t>
        </is>
      </c>
      <c r="J19" s="4" t="inlineStr">
        <is>
          <t>—</t>
        </is>
      </c>
      <c r="K19" s="4">
        <f>IF(COUNTIF(F19:J19,"Нужно")=0,"Готово","Осталось: "&amp;COUNTIF(F19:J19,"Нужно"))</f>
        <v/>
      </c>
      <c r="L19" s="4" t="inlineStr">
        <is>
          <t>Готов</t>
        </is>
      </c>
      <c r="M19" s="5" t="inlineStr">
        <is>
          <t>reels/reel3-scena.mp4</t>
        </is>
      </c>
      <c r="N19" s="5" t="inlineStr"/>
      <c r="O19" s="5" t="inlineStr"/>
    </row>
    <row r="20">
      <c r="A20" s="4" t="n">
        <v>17</v>
      </c>
      <c r="B20" s="5" t="inlineStr">
        <is>
          <t>4. Вопросы бизнеса</t>
        </is>
      </c>
      <c r="C20" s="6" t="inlineStr">
        <is>
          <t>Вопрос недели: «Спортшкола без CRM — через 3 года всё?»</t>
        </is>
      </c>
      <c r="D20" s="5" t="inlineStr">
        <is>
          <t>Пост + рилс</t>
        </is>
      </c>
      <c r="E20" s="5" t="inlineStr">
        <is>
          <t>Future</t>
        </is>
      </c>
      <c r="F20" s="4" t="inlineStr">
        <is>
          <t>Нужно</t>
        </is>
      </c>
      <c r="G20" s="4" t="inlineStr">
        <is>
          <t>Нужно</t>
        </is>
      </c>
      <c r="H20" s="4" t="inlineStr">
        <is>
          <t>Нужно</t>
        </is>
      </c>
      <c r="I20" s="4" t="inlineStr">
        <is>
          <t>—</t>
        </is>
      </c>
      <c r="J20" s="4" t="inlineStr">
        <is>
          <t>—</t>
        </is>
      </c>
      <c r="K20" s="4">
        <f>IF(COUNTIF(F20:J20,"Нужно")=0,"Готово","Осталось: "&amp;COUNTIF(F20:J20,"Нужно"))</f>
        <v/>
      </c>
      <c r="L20" s="4" t="inlineStr">
        <is>
          <t>Нужно снять</t>
        </is>
      </c>
      <c r="M20" s="5" t="inlineStr">
        <is>
          <t>telegram/5-pt-02.10-vopros-nedeli.md · vk/5-pt-02.10-klip-vopros-nedeli/ (обложка, титры, сценарий)</t>
        </is>
      </c>
      <c r="N20" s="5" t="inlineStr">
        <is>
          <t>Снять ролик с человеком в кадре</t>
        </is>
      </c>
      <c r="O20" s="5" t="inlineStr"/>
    </row>
    <row r="21">
      <c r="A21" s="4" t="n">
        <v>18</v>
      </c>
      <c r="B21" s="5" t="inlineStr">
        <is>
          <t>4. Вопросы бизнеса</t>
        </is>
      </c>
      <c r="C21" s="6" t="inlineStr">
        <is>
          <t>Итоги опроса — цифры + диаграмма + карусель</t>
        </is>
      </c>
      <c r="D21" s="5" t="inlineStr">
        <is>
          <t>Пост + карусель</t>
        </is>
      </c>
      <c r="E21" s="5" t="inlineStr">
        <is>
          <t>Опрос</t>
        </is>
      </c>
      <c r="F21" s="4" t="inlineStr">
        <is>
          <t>Нужно</t>
        </is>
      </c>
      <c r="G21" s="4" t="inlineStr">
        <is>
          <t>Нужно</t>
        </is>
      </c>
      <c r="H21" s="4" t="inlineStr">
        <is>
          <t>Нужно</t>
        </is>
      </c>
      <c r="I21" s="4" t="inlineStr">
        <is>
          <t>—</t>
        </is>
      </c>
      <c r="J21" s="4" t="inlineStr">
        <is>
          <t>—</t>
        </is>
      </c>
      <c r="K21" s="4">
        <f>IF(COUNTIF(F21:J21,"Нужно")=0,"Готово","Осталось: "&amp;COUNTIF(F21:J21,"Нужно"))</f>
        <v/>
      </c>
      <c r="L21" s="4" t="inlineStr">
        <is>
          <t>Ждём цифры опроса</t>
        </is>
      </c>
      <c r="M21" s="5" t="inlineStr">
        <is>
          <t>telegram/6-sb-03.10-itogi-oprosa.md · vk/6-sb-03.10-itogi-oprosa/ · instagram/6-sb-03.10-karusel-itogi/</t>
        </is>
      </c>
      <c r="N21" s="5" t="inlineStr">
        <is>
          <t>Прислать результаты — перерисую картинки</t>
        </is>
      </c>
      <c r="O21" s="5" t="inlineStr"/>
    </row>
    <row r="22">
      <c r="A22" s="4" t="n">
        <v>19</v>
      </c>
      <c r="B22" s="5" t="inlineStr">
        <is>
          <t>3. Атмосфера</t>
        </is>
      </c>
      <c r="C22" s="6" t="inlineStr">
        <is>
          <t>Рилс «Hot Seat» — вопросы из зала</t>
        </is>
      </c>
      <c r="D22" s="5" t="inlineStr">
        <is>
          <t>Рилс</t>
        </is>
      </c>
      <c r="E22" s="5" t="inlineStr">
        <is>
          <t>Атмосфера</t>
        </is>
      </c>
      <c r="F22" s="4" t="inlineStr">
        <is>
          <t>Нужно</t>
        </is>
      </c>
      <c r="G22" s="4" t="inlineStr">
        <is>
          <t>Нужно</t>
        </is>
      </c>
      <c r="H22" s="4" t="inlineStr">
        <is>
          <t>Нужно</t>
        </is>
      </c>
      <c r="I22" s="4" t="inlineStr">
        <is>
          <t>—</t>
        </is>
      </c>
      <c r="J22" s="4" t="inlineStr">
        <is>
          <t>—</t>
        </is>
      </c>
      <c r="K22" s="4">
        <f>IF(COUNTIF(F22:J22,"Нужно")=0,"Готово","Осталось: "&amp;COUNTIF(F22:J22,"Нужно"))</f>
        <v/>
      </c>
      <c r="L22" s="4" t="inlineStr">
        <is>
          <t>Готов</t>
        </is>
      </c>
      <c r="M22" s="5" t="inlineStr">
        <is>
          <t>reels/reel4-hot-seat.mp4</t>
        </is>
      </c>
      <c r="N22" s="5" t="inlineStr"/>
      <c r="O22" s="5" t="inlineStr"/>
    </row>
    <row r="23">
      <c r="A23" s="4" t="n">
        <v>20</v>
      </c>
      <c r="B23" s="5" t="inlineStr">
        <is>
          <t>5. Форматы</t>
        </is>
      </c>
      <c r="C23" s="6" t="inlineStr">
        <is>
          <t>Business Live: «Три бизнеса. Три проблемы. Три решения.» + набор на разбор</t>
        </is>
      </c>
      <c r="D23" s="5" t="inlineStr">
        <is>
          <t>Пост + картинка</t>
        </is>
      </c>
      <c r="E23" s="5" t="inlineStr">
        <is>
          <t>Business Live</t>
        </is>
      </c>
      <c r="F23" s="4" t="inlineStr">
        <is>
          <t>Нужно</t>
        </is>
      </c>
      <c r="G23" s="4" t="inlineStr">
        <is>
          <t>Нужно</t>
        </is>
      </c>
      <c r="H23" s="4" t="inlineStr">
        <is>
          <t>—</t>
        </is>
      </c>
      <c r="I23" s="4" t="inlineStr">
        <is>
          <t>—</t>
        </is>
      </c>
      <c r="J23" s="4" t="inlineStr">
        <is>
          <t>—</t>
        </is>
      </c>
      <c r="K23" s="4">
        <f>IF(COUNTIF(F23:J23,"Нужно")=0,"Готово","Осталось: "&amp;COUNTIF(F23:J23,"Нужно"))</f>
        <v/>
      </c>
      <c r="L23" s="4" t="inlineStr">
        <is>
          <t>Готов</t>
        </is>
      </c>
      <c r="M23" s="5" t="inlineStr">
        <is>
          <t>brag-output/post-business-live.png · текст: brag-output/posts.md (№3)</t>
        </is>
      </c>
      <c r="N23" s="5" t="inlineStr"/>
      <c r="O23" s="5" t="inlineStr"/>
    </row>
    <row r="24">
      <c r="A24" s="4" t="n">
        <v>21</v>
      </c>
      <c r="B24" s="5" t="inlineStr">
        <is>
          <t>5. Форматы</t>
        </is>
      </c>
      <c r="C24" s="6" t="inlineStr">
        <is>
          <t>Карусель «5 вопросов собственнику» с сессиями программы</t>
        </is>
      </c>
      <c r="D24" s="5" t="inlineStr">
        <is>
          <t>Карусель</t>
        </is>
      </c>
      <c r="E24" s="5" t="inlineStr">
        <is>
          <t>5 вопросов</t>
        </is>
      </c>
      <c r="F24" s="4" t="inlineStr">
        <is>
          <t>—</t>
        </is>
      </c>
      <c r="G24" s="4" t="inlineStr">
        <is>
          <t>Нужно</t>
        </is>
      </c>
      <c r="H24" s="4" t="inlineStr">
        <is>
          <t>Нужно</t>
        </is>
      </c>
      <c r="I24" s="4" t="inlineStr">
        <is>
          <t>—</t>
        </is>
      </c>
      <c r="J24" s="4" t="inlineStr">
        <is>
          <t>—</t>
        </is>
      </c>
      <c r="K24" s="4">
        <f>IF(COUNTIF(F24:J24,"Нужно")=0,"Готово","Осталось: "&amp;COUNTIF(F24:J24,"Нужно"))</f>
        <v/>
      </c>
      <c r="L24" s="4" t="inlineStr">
        <is>
          <t>Готов</t>
        </is>
      </c>
      <c r="M24" s="5" t="inlineStr">
        <is>
          <t>brag-output/carousel/ (slide-1…7)</t>
        </is>
      </c>
      <c r="N24" s="5" t="inlineStr">
        <is>
          <t>В подписи есть даты — проверить</t>
        </is>
      </c>
      <c r="O24" s="5" t="inlineStr"/>
    </row>
    <row r="25">
      <c r="A25" s="4" t="n">
        <v>22</v>
      </c>
      <c r="B25" s="5" t="inlineStr">
        <is>
          <t>6. Лёгкое</t>
        </is>
      </c>
      <c r="C25" s="6" t="inlineStr">
        <is>
          <t>Мем «Понедельник владельца спортивной школы»</t>
        </is>
      </c>
      <c r="D25" s="5" t="inlineStr">
        <is>
          <t>Пост + картинка</t>
        </is>
      </c>
      <c r="E25" s="5" t="inlineStr">
        <is>
          <t>Лёгкий</t>
        </is>
      </c>
      <c r="F25" s="4" t="inlineStr">
        <is>
          <t>Нужно</t>
        </is>
      </c>
      <c r="G25" s="4" t="inlineStr">
        <is>
          <t>Нужно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>
        <f>IF(COUNTIF(F25:J25,"Нужно")=0,"Готово","Осталось: "&amp;COUNTIF(F25:J25,"Нужно"))</f>
        <v/>
      </c>
      <c r="L25" s="4" t="inlineStr">
        <is>
          <t>Готов</t>
        </is>
      </c>
      <c r="M25" s="5" t="inlineStr">
        <is>
          <t>telegram/7-vs-04.10-mem/</t>
        </is>
      </c>
      <c r="N25" s="5" t="inlineStr"/>
      <c r="O25" s="5" t="inlineStr"/>
    </row>
    <row r="26">
      <c r="A26" s="4" t="n">
        <v>23</v>
      </c>
      <c r="B26" s="5" t="inlineStr">
        <is>
          <t>6. Лёгкое</t>
        </is>
      </c>
      <c r="C26" s="6" t="inlineStr">
        <is>
          <t>Сторис: закулисье + анонс следующей темы</t>
        </is>
      </c>
      <c r="D26" s="5" t="inlineStr">
        <is>
          <t>Сторис</t>
        </is>
      </c>
      <c r="E26" s="5" t="inlineStr">
        <is>
          <t>Закулисье</t>
        </is>
      </c>
      <c r="F26" s="4" t="inlineStr">
        <is>
          <t>—</t>
        </is>
      </c>
      <c r="G26" s="4" t="inlineStr">
        <is>
          <t>Нужно</t>
        </is>
      </c>
      <c r="H26" s="4" t="inlineStr">
        <is>
          <t>Нужно</t>
        </is>
      </c>
      <c r="I26" s="4" t="inlineStr">
        <is>
          <t>—</t>
        </is>
      </c>
      <c r="J26" s="4" t="inlineStr">
        <is>
          <t>—</t>
        </is>
      </c>
      <c r="K26" s="4">
        <f>IF(COUNTIF(F26:J26,"Нужно")=0,"Готово","Осталось: "&amp;COUNTIF(F26:J26,"Нужно"))</f>
        <v/>
      </c>
      <c r="L26" s="4" t="inlineStr">
        <is>
          <t>Нужно сделать</t>
        </is>
      </c>
      <c r="M26" s="5" t="inlineStr">
        <is>
          <t>instagram/stories/7-vs-04.10-anons.png</t>
        </is>
      </c>
      <c r="N26" s="5" t="inlineStr">
        <is>
          <t>Нужно фото закулисья в рамку</t>
        </is>
      </c>
      <c r="O26" s="5" t="inlineStr"/>
    </row>
    <row r="27">
      <c r="A27" s="4" t="n">
        <v>24</v>
      </c>
      <c r="B27" s="5" t="inlineStr">
        <is>
          <t>7. Чат</t>
        </is>
      </c>
      <c r="C27" s="6" t="inlineStr">
        <is>
          <t>Создать чат и закрепить правила</t>
        </is>
      </c>
      <c r="D27" s="5" t="inlineStr">
        <is>
          <t>Чат</t>
        </is>
      </c>
      <c r="E27" s="5" t="inlineStr">
        <is>
          <t>Чат</t>
        </is>
      </c>
      <c r="F27" s="4" t="inlineStr">
        <is>
          <t>—</t>
        </is>
      </c>
      <c r="G27" s="4" t="inlineStr">
        <is>
          <t>—</t>
        </is>
      </c>
      <c r="H27" s="4" t="inlineStr">
        <is>
          <t>—</t>
        </is>
      </c>
      <c r="I27" s="4" t="inlineStr">
        <is>
          <t>—</t>
        </is>
      </c>
      <c r="J27" s="4" t="inlineStr">
        <is>
          <t>Нужно</t>
        </is>
      </c>
      <c r="K27" s="4">
        <f>IF(COUNTIF(F27:J27,"Нужно")=0,"Готово","Осталось: "&amp;COUNTIF(F27:J27,"Нужно"))</f>
        <v/>
      </c>
      <c r="L27" s="4" t="inlineStr">
        <is>
          <t>Готов</t>
        </is>
      </c>
      <c r="M27" s="5" t="inlineStr">
        <is>
          <t>telegram-chat/1-nastroyka.md · 2-pravila-zakrep.md · 3-opisanie.md</t>
        </is>
      </c>
      <c r="N27" s="5" t="inlineStr"/>
      <c r="O27" s="5" t="inlineStr"/>
    </row>
    <row r="28">
      <c r="A28" s="4" t="n">
        <v>25</v>
      </c>
      <c r="B28" s="5" t="inlineStr">
        <is>
          <t>7. Чат</t>
        </is>
      </c>
      <c r="C28" s="6" t="inlineStr">
        <is>
          <t>Лично пригласить 10–15 человек</t>
        </is>
      </c>
      <c r="D28" s="5" t="inlineStr">
        <is>
          <t>Чат</t>
        </is>
      </c>
      <c r="E28" s="5" t="inlineStr">
        <is>
          <t>Чат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Нужно</t>
        </is>
      </c>
      <c r="K28" s="4">
        <f>IF(COUNTIF(F28:J28,"Нужно")=0,"Готово","Осталось: "&amp;COUNTIF(F28:J28,"Нужно"))</f>
        <v/>
      </c>
      <c r="L28" s="4" t="inlineStr">
        <is>
          <t>Нужно сделать</t>
        </is>
      </c>
      <c r="M28" s="5" t="inlineStr">
        <is>
          <t>telegram-chat/5-lichnoe-priglashenie.md (там же таблица приглашённых)</t>
        </is>
      </c>
      <c r="N28" s="5" t="inlineStr">
        <is>
          <t>Составить список людей</t>
        </is>
      </c>
      <c r="O28" s="5" t="inlineStr"/>
    </row>
    <row r="29">
      <c r="A29" s="4" t="n">
        <v>26</v>
      </c>
      <c r="B29" s="5" t="inlineStr">
        <is>
          <t>7. Чат</t>
        </is>
      </c>
      <c r="C29" s="6" t="inlineStr">
        <is>
          <t>Первое сообщение модератора в чате</t>
        </is>
      </c>
      <c r="D29" s="5" t="inlineStr">
        <is>
          <t>Чат</t>
        </is>
      </c>
      <c r="E29" s="5" t="inlineStr">
        <is>
          <t>Чат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Нужно</t>
        </is>
      </c>
      <c r="K29" s="4">
        <f>IF(COUNTIF(F29:J29,"Нужно")=0,"Готово","Осталось: "&amp;COUNTIF(F29:J29,"Нужно"))</f>
        <v/>
      </c>
      <c r="L29" s="4" t="inlineStr">
        <is>
          <t>Готов</t>
        </is>
      </c>
      <c r="M29" s="5" t="inlineStr">
        <is>
          <t>telegram-chat/4-privetstvie.md</t>
        </is>
      </c>
      <c r="N29" s="5" t="inlineStr"/>
      <c r="O29" s="5" t="inlineStr"/>
    </row>
    <row r="30">
      <c r="A30" s="4" t="n">
        <v>27</v>
      </c>
      <c r="B30" s="5" t="inlineStr">
        <is>
          <t>8. YouTube</t>
        </is>
      </c>
      <c r="C30" s="6" t="inlineStr">
        <is>
          <t>Интро, переход и аутро — вставлять в каждый ролик</t>
        </is>
      </c>
      <c r="D30" s="5" t="inlineStr">
        <is>
          <t>Оформление</t>
        </is>
      </c>
      <c r="E30" s="5" t="inlineStr">
        <is>
          <t>YouTube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Нужно</t>
        </is>
      </c>
      <c r="J30" s="4" t="inlineStr">
        <is>
          <t>—</t>
        </is>
      </c>
      <c r="K30" s="4">
        <f>IF(COUNTIF(F30:J30,"Нужно")=0,"Готово","Осталось: "&amp;COUNTIF(F30:J30,"Нужно"))</f>
        <v/>
      </c>
      <c r="L30" s="4" t="inlineStr">
        <is>
          <t>Готов</t>
        </is>
      </c>
      <c r="M30" s="5" t="inlineStr">
        <is>
          <t>youtube/ (intro, stinger, outro + README)</t>
        </is>
      </c>
      <c r="N30" s="5" t="inlineStr">
        <is>
          <t>Не публикуются отдельно — используются при монтаже</t>
        </is>
      </c>
      <c r="O30" s="5" t="inlineStr"/>
    </row>
    <row r="31">
      <c r="A31" s="4" t="n">
        <v>28</v>
      </c>
      <c r="B31" s="5" t="inlineStr">
        <is>
          <t>11. Неделя 27.10–02.11</t>
        </is>
      </c>
      <c r="C31" s="6" t="inlineStr">
        <is>
          <t>Вт 27.10 · Зубр: «Вот такой вот спортбизнес, собачка»</t>
        </is>
      </c>
      <c r="D31" s="5" t="inlineStr">
        <is>
          <t>Картинка</t>
        </is>
      </c>
      <c r="E31" s="5" t="inlineStr">
        <is>
          <t>Зубр</t>
        </is>
      </c>
      <c r="F31" s="4" t="inlineStr">
        <is>
          <t>Нужно</t>
        </is>
      </c>
      <c r="G31" s="4" t="inlineStr">
        <is>
          <t>Нужно</t>
        </is>
      </c>
      <c r="H31" s="4" t="inlineStr">
        <is>
          <t>Нужно</t>
        </is>
      </c>
      <c r="I31" s="4" t="inlineStr">
        <is>
          <t>—</t>
        </is>
      </c>
      <c r="J31" s="4" t="inlineStr">
        <is>
          <t>—</t>
        </is>
      </c>
      <c r="K31" s="4">
        <f>IF(COUNTIF(F31:J31,"Нужно")=0,"Готово","Осталось: "&amp;COUNTIF(F31:J31,"Нужно"))</f>
        <v/>
      </c>
      <c r="L31" s="4" t="inlineStr">
        <is>
          <t>Нужно сделать</t>
        </is>
      </c>
      <c r="M31" s="5" t="inlineStr">
        <is>
          <t>content/nedelya-5_27.10-02.11/01-zubr-sportbiznes/</t>
        </is>
      </c>
      <c r="N31" s="5" t="inlineStr">
        <is>
          <t>Сгенерировать зубра в спортзале (промпт в tekst.md)</t>
        </is>
      </c>
      <c r="O31" s="5" t="inlineStr"/>
    </row>
    <row r="32">
      <c r="A32" s="4" t="n">
        <v>29</v>
      </c>
      <c r="B32" s="5" t="inlineStr">
        <is>
          <t>11. Неделя 27.10–02.11</t>
        </is>
      </c>
      <c r="C32" s="6" t="inlineStr">
        <is>
          <t>Чт 29.10 · Схема зала «Места разбирают» + тарифы</t>
        </is>
      </c>
      <c r="D32" s="5" t="inlineStr">
        <is>
          <t>Картинка</t>
        </is>
      </c>
      <c r="E32" s="5" t="inlineStr">
        <is>
          <t>Продажа</t>
        </is>
      </c>
      <c r="F32" s="4" t="inlineStr">
        <is>
          <t>Нужно</t>
        </is>
      </c>
      <c r="G32" s="4" t="inlineStr">
        <is>
          <t>Нужно</t>
        </is>
      </c>
      <c r="H32" s="4" t="inlineStr">
        <is>
          <t>Нужно</t>
        </is>
      </c>
      <c r="I32" s="4" t="inlineStr">
        <is>
          <t>—</t>
        </is>
      </c>
      <c r="J32" s="4" t="inlineStr">
        <is>
          <t>—</t>
        </is>
      </c>
      <c r="K32" s="4">
        <f>IF(COUNTIF(F32:J32,"Нужно")=0,"Готово","Осталось: "&amp;COUNTIF(F32:J32,"Нужно"))</f>
        <v/>
      </c>
      <c r="L32" s="4" t="inlineStr">
        <is>
          <t>Готов</t>
        </is>
      </c>
      <c r="M32" s="5" t="inlineStr">
        <is>
          <t>content/nedelya-5_27.10-02.11/02-skhema-zala/</t>
        </is>
      </c>
      <c r="N32" s="5" t="inlineStr">
        <is>
          <t>Подставить ссылки [ЧАТ] [ВК]</t>
        </is>
      </c>
      <c r="O32" s="5" t="inlineStr"/>
    </row>
    <row r="33">
      <c r="A33" s="4" t="n">
        <v>30</v>
      </c>
      <c r="B33" s="5" t="inlineStr">
        <is>
          <t>11. Неделя 27.10–02.11</t>
        </is>
      </c>
      <c r="C33" s="6" t="inlineStr">
        <is>
          <t>Сб 31.10 · Все спикеры в одном посте</t>
        </is>
      </c>
      <c r="D33" s="5" t="inlineStr">
        <is>
          <t>Картинка</t>
        </is>
      </c>
      <c r="E33" s="5" t="inlineStr">
        <is>
          <t>Спикеры</t>
        </is>
      </c>
      <c r="F33" s="4" t="inlineStr">
        <is>
          <t>Нужно</t>
        </is>
      </c>
      <c r="G33" s="4" t="inlineStr">
        <is>
          <t>Нужно</t>
        </is>
      </c>
      <c r="H33" s="4" t="inlineStr">
        <is>
          <t>Нужно</t>
        </is>
      </c>
      <c r="I33" s="4" t="inlineStr">
        <is>
          <t>—</t>
        </is>
      </c>
      <c r="J33" s="4" t="inlineStr">
        <is>
          <t>—</t>
        </is>
      </c>
      <c r="K33" s="4">
        <f>IF(COUNTIF(F33:J33,"Нужно")=0,"Готово","Осталось: "&amp;COUNTIF(F33:J33,"Нужно"))</f>
        <v/>
      </c>
      <c r="L33" s="4" t="inlineStr">
        <is>
          <t>Ждём цифры опроса</t>
        </is>
      </c>
      <c r="M33" s="5" t="inlineStr">
        <is>
          <t>content/nedelya-5_27.10-02.11/03-spikery-vmeste/</t>
        </is>
      </c>
      <c r="N33" s="5" t="inlineStr">
        <is>
          <t>Кто есть кто на фото + данные 4 спикеров</t>
        </is>
      </c>
      <c r="O33" s="5" t="inlineStr"/>
    </row>
    <row r="34">
      <c r="A34" s="4" t="n">
        <v>31</v>
      </c>
      <c r="B34" s="5" t="inlineStr">
        <is>
          <t>11. Неделя 27.10–02.11</t>
        </is>
      </c>
      <c r="C34" s="6" t="inlineStr">
        <is>
          <t>Пн 02.11 · Рилс «До форума 11 дней»</t>
        </is>
      </c>
      <c r="D34" s="5" t="inlineStr">
        <is>
          <t>Рилс</t>
        </is>
      </c>
      <c r="E34" s="5" t="inlineStr">
        <is>
          <t>Отсчёт</t>
        </is>
      </c>
      <c r="F34" s="4" t="inlineStr">
        <is>
          <t>—</t>
        </is>
      </c>
      <c r="G34" s="4" t="inlineStr">
        <is>
          <t>Нужно</t>
        </is>
      </c>
      <c r="H34" s="4" t="inlineStr">
        <is>
          <t>Нужно</t>
        </is>
      </c>
      <c r="I34" s="4" t="inlineStr">
        <is>
          <t>—</t>
        </is>
      </c>
      <c r="J34" s="4" t="inlineStr">
        <is>
          <t>—</t>
        </is>
      </c>
      <c r="K34" s="4">
        <f>IF(COUNTIF(F34:J34,"Нужно")=0,"Готово","Осталось: "&amp;COUNTIF(F34:J34,"Нужно"))</f>
        <v/>
      </c>
      <c r="L34" s="4" t="inlineStr">
        <is>
          <t>Готов</t>
        </is>
      </c>
      <c r="M34" s="5" t="inlineStr">
        <is>
          <t>reels/bez-muzyki/reel6-otschet-11-dney-bez-zvuka.mp4</t>
        </is>
      </c>
      <c r="N34" s="5" t="inlineStr">
        <is>
          <t>Трендовый трек в приложении</t>
        </is>
      </c>
      <c r="O34" s="5" t="inlineStr"/>
    </row>
    <row r="35">
      <c r="A35" s="4" t="n">
        <v>32</v>
      </c>
      <c r="B35" s="5" t="inlineStr">
        <is>
          <t>10. Недели 3–4</t>
        </is>
      </c>
      <c r="C35" s="6" t="inlineStr">
        <is>
          <t>Пн 12.10 · Рилс с зубром + карусель «9 форматов форума»</t>
        </is>
      </c>
      <c r="D35" s="5" t="inlineStr">
        <is>
          <t>Рилс + карусель</t>
        </is>
      </c>
      <c r="E35" s="5" t="inlineStr">
        <is>
          <t>Знакомство</t>
        </is>
      </c>
      <c r="F35" s="4" t="inlineStr">
        <is>
          <t>Нужно</t>
        </is>
      </c>
      <c r="G35" s="4" t="inlineStr">
        <is>
          <t>Нужно</t>
        </is>
      </c>
      <c r="H35" s="4" t="inlineStr">
        <is>
          <t>Нужно</t>
        </is>
      </c>
      <c r="I35" s="4" t="inlineStr">
        <is>
          <t>—</t>
        </is>
      </c>
      <c r="J35" s="4" t="inlineStr">
        <is>
          <t>—</t>
        </is>
      </c>
      <c r="K35" s="4">
        <f>IF(COUNTIF(F35:J35,"Нужно")=0,"Готово","Осталось: "&amp;COUNTIF(F35:J35,"Нужно"))</f>
        <v/>
      </c>
      <c r="L35" s="4" t="inlineStr">
        <is>
          <t>Готов</t>
        </is>
      </c>
      <c r="M35" s="5" t="inlineStr">
        <is>
          <t>content/nedeli-3-4_12.10-25.10/01-pn-12.10-zubr-formaty/ · reels/reel5-zubr-znakomtes.mp4</t>
        </is>
      </c>
      <c r="N35" s="5" t="inlineStr"/>
      <c r="O35" s="5" t="inlineStr"/>
    </row>
    <row r="36">
      <c r="A36" s="4" t="n">
        <v>33</v>
      </c>
      <c r="B36" s="5" t="inlineStr">
        <is>
          <t>10. Недели 3–4</t>
        </is>
      </c>
      <c r="C36" s="6" t="inlineStr">
        <is>
          <t>Вт 13.10 · Сколько стоит потерянный клиент + чек-лист</t>
        </is>
      </c>
      <c r="D36" s="5" t="inlineStr">
        <is>
          <t>Карусель</t>
        </is>
      </c>
      <c r="E36" s="5" t="inlineStr">
        <is>
          <t>Польза</t>
        </is>
      </c>
      <c r="F36" s="4" t="inlineStr">
        <is>
          <t>Нужно</t>
        </is>
      </c>
      <c r="G36" s="4" t="inlineStr">
        <is>
          <t>Нужно</t>
        </is>
      </c>
      <c r="H36" s="4" t="inlineStr">
        <is>
          <t>Нужно</t>
        </is>
      </c>
      <c r="I36" s="4" t="inlineStr">
        <is>
          <t>—</t>
        </is>
      </c>
      <c r="J36" s="4" t="inlineStr">
        <is>
          <t>—</t>
        </is>
      </c>
      <c r="K36" s="4">
        <f>IF(COUNTIF(F36:J36,"Нужно")=0,"Готово","Осталось: "&amp;COUNTIF(F36:J36,"Нужно"))</f>
        <v/>
      </c>
      <c r="L36" s="4" t="inlineStr">
        <is>
          <t>Готов</t>
        </is>
      </c>
      <c r="M36" s="5" t="inlineStr">
        <is>
          <t>content/nedeli-3-4_12.10-25.10/02-vt-13.10-poteryannyy-klient/</t>
        </is>
      </c>
      <c r="N36" s="5" t="inlineStr">
        <is>
          <t>Сразу после поста — чек-лист в Telegram</t>
        </is>
      </c>
      <c r="O36" s="5" t="inlineStr"/>
    </row>
    <row r="37">
      <c r="A37" s="4" t="n">
        <v>34</v>
      </c>
      <c r="B37" s="5" t="inlineStr">
        <is>
          <t>10. Недели 3–4</t>
        </is>
      </c>
      <c r="C37" s="6" t="inlineStr">
        <is>
          <t>Ср 14.10 · Розыгрыш билета (итоги 25.10)</t>
        </is>
      </c>
      <c r="D37" s="5" t="inlineStr">
        <is>
          <t>Карусель + сторис</t>
        </is>
      </c>
      <c r="E37" s="5" t="inlineStr">
        <is>
          <t>Розыгрыш</t>
        </is>
      </c>
      <c r="F37" s="4" t="inlineStr">
        <is>
          <t>Нужно</t>
        </is>
      </c>
      <c r="G37" s="4" t="inlineStr">
        <is>
          <t>Нужно</t>
        </is>
      </c>
      <c r="H37" s="4" t="inlineStr">
        <is>
          <t>Нужно</t>
        </is>
      </c>
      <c r="I37" s="4" t="inlineStr">
        <is>
          <t>—</t>
        </is>
      </c>
      <c r="J37" s="4" t="inlineStr">
        <is>
          <t>—</t>
        </is>
      </c>
      <c r="K37" s="4">
        <f>IF(COUNTIF(F37:J37,"Нужно")=0,"Готово","Осталось: "&amp;COUNTIF(F37:J37,"Нужно"))</f>
        <v/>
      </c>
      <c r="L37" s="4" t="inlineStr">
        <is>
          <t>Готов</t>
        </is>
      </c>
      <c r="M37" s="5" t="inlineStr">
        <is>
          <t>content/nedeli-3-4_12.10-25.10/03-sr-14.10-rozygrysh-bileta/</t>
        </is>
      </c>
      <c r="N37" s="5" t="inlineStr">
        <is>
          <t>Записать выбор победителя</t>
        </is>
      </c>
      <c r="O37" s="5" t="inlineStr"/>
    </row>
    <row r="38">
      <c r="A38" s="4" t="n">
        <v>35</v>
      </c>
      <c r="B38" s="5" t="inlineStr">
        <is>
          <t>10. Недели 3–4</t>
        </is>
      </c>
      <c r="C38" s="6" t="inlineStr">
        <is>
          <t>Ср 14.10 · Мем «Родительский чат в 23:47»</t>
        </is>
      </c>
      <c r="D38" s="5" t="inlineStr">
        <is>
          <t>Мем</t>
        </is>
      </c>
      <c r="E38" s="5" t="inlineStr">
        <is>
          <t>Мем</t>
        </is>
      </c>
      <c r="F38" s="4" t="inlineStr">
        <is>
          <t>Нужно</t>
        </is>
      </c>
      <c r="G38" s="4" t="inlineStr">
        <is>
          <t>Нужно</t>
        </is>
      </c>
      <c r="H38" s="4" t="inlineStr">
        <is>
          <t>Нужно</t>
        </is>
      </c>
      <c r="I38" s="4" t="inlineStr">
        <is>
          <t>—</t>
        </is>
      </c>
      <c r="J38" s="4" t="inlineStr">
        <is>
          <t>—</t>
        </is>
      </c>
      <c r="K38" s="4">
        <f>IF(COUNTIF(F38:J38,"Нужно")=0,"Готово","Осталось: "&amp;COUNTIF(F38:J38,"Нужно"))</f>
        <v/>
      </c>
      <c r="L38" s="4" t="inlineStr">
        <is>
          <t>Готов</t>
        </is>
      </c>
      <c r="M38" s="5" t="inlineStr">
        <is>
          <t>content/nedeli-3-4_12.10-25.10/03-sr-14.10-mem-roditelskiy-chat/</t>
        </is>
      </c>
      <c r="N38" s="5" t="inlineStr"/>
      <c r="O38" s="5" t="inlineStr"/>
    </row>
    <row r="39">
      <c r="A39" s="4" t="n">
        <v>36</v>
      </c>
      <c r="B39" s="5" t="inlineStr">
        <is>
          <t>10. Недели 3–4</t>
        </is>
      </c>
      <c r="C39" s="6" t="inlineStr">
        <is>
          <t>Чт 15.10 · 5 фраз, которые удерживают после пробного</t>
        </is>
      </c>
      <c r="D39" s="5" t="inlineStr">
        <is>
          <t>Карусель</t>
        </is>
      </c>
      <c r="E39" s="5" t="inlineStr">
        <is>
          <t>Польза</t>
        </is>
      </c>
      <c r="F39" s="4" t="inlineStr">
        <is>
          <t>Нужно</t>
        </is>
      </c>
      <c r="G39" s="4" t="inlineStr">
        <is>
          <t>Нужно</t>
        </is>
      </c>
      <c r="H39" s="4" t="inlineStr">
        <is>
          <t>Нужно</t>
        </is>
      </c>
      <c r="I39" s="4" t="inlineStr">
        <is>
          <t>—</t>
        </is>
      </c>
      <c r="J39" s="4" t="inlineStr">
        <is>
          <t>—</t>
        </is>
      </c>
      <c r="K39" s="4">
        <f>IF(COUNTIF(F39:J39,"Нужно")=0,"Готово","Осталось: "&amp;COUNTIF(F39:J39,"Нужно"))</f>
        <v/>
      </c>
      <c r="L39" s="4" t="inlineStr">
        <is>
          <t>Готов</t>
        </is>
      </c>
      <c r="M39" s="5" t="inlineStr">
        <is>
          <t>content/nedeli-3-4_12.10-25.10/04-cht-15.10-5-fraz-posle-probnogo/</t>
        </is>
      </c>
      <c r="N39" s="5" t="inlineStr"/>
      <c r="O39" s="5" t="inlineStr"/>
    </row>
    <row r="40">
      <c r="A40" s="4" t="n">
        <v>37</v>
      </c>
      <c r="B40" s="5" t="inlineStr">
        <is>
          <t>10. Недели 3–4</t>
        </is>
      </c>
      <c r="C40" s="6" t="inlineStr">
        <is>
          <t>Пт 16.10 · Мем «Нет / Да» + рилс «Полный зал»</t>
        </is>
      </c>
      <c r="D40" s="5" t="inlineStr">
        <is>
          <t>Мем + рилс</t>
        </is>
      </c>
      <c r="E40" s="5" t="inlineStr">
        <is>
          <t>Мем</t>
        </is>
      </c>
      <c r="F40" s="4" t="inlineStr">
        <is>
          <t>Нужно</t>
        </is>
      </c>
      <c r="G40" s="4" t="inlineStr">
        <is>
          <t>Нужно</t>
        </is>
      </c>
      <c r="H40" s="4" t="inlineStr">
        <is>
          <t>Нужно</t>
        </is>
      </c>
      <c r="I40" s="4" t="inlineStr">
        <is>
          <t>—</t>
        </is>
      </c>
      <c r="J40" s="4" t="inlineStr">
        <is>
          <t>—</t>
        </is>
      </c>
      <c r="K40" s="4">
        <f>IF(COUNTIF(F40:J40,"Нужно")=0,"Готово","Осталось: "&amp;COUNTIF(F40:J40,"Нужно"))</f>
        <v/>
      </c>
      <c r="L40" s="4" t="inlineStr">
        <is>
          <t>Готов</t>
        </is>
      </c>
      <c r="M40" s="5" t="inlineStr">
        <is>
          <t>content/nedeli-3-4_12.10-25.10/05-pt-16.10-mem-net-da/</t>
        </is>
      </c>
      <c r="N40" s="5" t="inlineStr">
        <is>
          <t>Рилс — под трендовый звук</t>
        </is>
      </c>
      <c r="O40" s="5" t="inlineStr"/>
    </row>
    <row r="41">
      <c r="A41" s="4" t="n">
        <v>38</v>
      </c>
      <c r="B41" s="5" t="inlineStr">
        <is>
          <t>10. Недели 3–4</t>
        </is>
      </c>
      <c r="C41" s="6" t="inlineStr">
        <is>
          <t>Сб 17.10 · Как выглядит день на РЕШЕНО</t>
        </is>
      </c>
      <c r="D41" s="5" t="inlineStr">
        <is>
          <t>Карусель</t>
        </is>
      </c>
      <c r="E41" s="5" t="inlineStr">
        <is>
          <t>Форум</t>
        </is>
      </c>
      <c r="F41" s="4" t="inlineStr">
        <is>
          <t>Нужно</t>
        </is>
      </c>
      <c r="G41" s="4" t="inlineStr">
        <is>
          <t>Нужно</t>
        </is>
      </c>
      <c r="H41" s="4" t="inlineStr">
        <is>
          <t>Нужно</t>
        </is>
      </c>
      <c r="I41" s="4" t="inlineStr">
        <is>
          <t>—</t>
        </is>
      </c>
      <c r="J41" s="4" t="inlineStr">
        <is>
          <t>—</t>
        </is>
      </c>
      <c r="K41" s="4">
        <f>IF(COUNTIF(F41:J41,"Нужно")=0,"Готово","Осталось: "&amp;COUNTIF(F41:J41,"Нужно"))</f>
        <v/>
      </c>
      <c r="L41" s="4" t="inlineStr">
        <is>
          <t>Готов</t>
        </is>
      </c>
      <c r="M41" s="5" t="inlineStr">
        <is>
          <t>content/nedeli-3-4_12.10-25.10/06-sb-17.10-den-na-reshno/</t>
        </is>
      </c>
      <c r="N41" s="5" t="inlineStr"/>
      <c r="O41" s="5" t="inlineStr"/>
    </row>
    <row r="42">
      <c r="A42" s="4" t="n">
        <v>39</v>
      </c>
      <c r="B42" s="5" t="inlineStr">
        <is>
          <t>10. Недели 3–4</t>
        </is>
      </c>
      <c r="C42" s="6" t="inlineStr">
        <is>
          <t>Вс 18.10 · Какой ты зубр сегодня?</t>
        </is>
      </c>
      <c r="D42" s="5" t="inlineStr">
        <is>
          <t>Картинка</t>
        </is>
      </c>
      <c r="E42" s="5" t="inlineStr">
        <is>
          <t>Вовлечение</t>
        </is>
      </c>
      <c r="F42" s="4" t="inlineStr">
        <is>
          <t>Нужно</t>
        </is>
      </c>
      <c r="G42" s="4" t="inlineStr">
        <is>
          <t>Нужно</t>
        </is>
      </c>
      <c r="H42" s="4" t="inlineStr">
        <is>
          <t>Нужно</t>
        </is>
      </c>
      <c r="I42" s="4" t="inlineStr">
        <is>
          <t>—</t>
        </is>
      </c>
      <c r="J42" s="4" t="inlineStr">
        <is>
          <t>—</t>
        </is>
      </c>
      <c r="K42" s="4">
        <f>IF(COUNTIF(F42:J42,"Нужно")=0,"Готово","Осталось: "&amp;COUNTIF(F42:J42,"Нужно"))</f>
        <v/>
      </c>
      <c r="L42" s="4" t="inlineStr">
        <is>
          <t>Готов</t>
        </is>
      </c>
      <c r="M42" s="5" t="inlineStr">
        <is>
          <t>content/nedeli-3-4_12.10-25.10/07-vs-18.10-kakoy-ty-zubr/</t>
        </is>
      </c>
      <c r="N42" s="5" t="inlineStr"/>
      <c r="O42" s="5" t="inlineStr"/>
    </row>
    <row r="43">
      <c r="A43" s="4" t="n">
        <v>40</v>
      </c>
      <c r="B43" s="5" t="inlineStr">
        <is>
          <t>10. Недели 3–4</t>
        </is>
      </c>
      <c r="C43" s="6" t="inlineStr">
        <is>
          <t>Пн 19.10 · 6 цифр каждый понедельник</t>
        </is>
      </c>
      <c r="D43" s="5" t="inlineStr">
        <is>
          <t>Карусель</t>
        </is>
      </c>
      <c r="E43" s="5" t="inlineStr">
        <is>
          <t>Польза</t>
        </is>
      </c>
      <c r="F43" s="4" t="inlineStr">
        <is>
          <t>Нужно</t>
        </is>
      </c>
      <c r="G43" s="4" t="inlineStr">
        <is>
          <t>Нужно</t>
        </is>
      </c>
      <c r="H43" s="4" t="inlineStr">
        <is>
          <t>Нужно</t>
        </is>
      </c>
      <c r="I43" s="4" t="inlineStr">
        <is>
          <t>—</t>
        </is>
      </c>
      <c r="J43" s="4" t="inlineStr">
        <is>
          <t>—</t>
        </is>
      </c>
      <c r="K43" s="4">
        <f>IF(COUNTIF(F43:J43,"Нужно")=0,"Готово","Осталось: "&amp;COUNTIF(F43:J43,"Нужно"))</f>
        <v/>
      </c>
      <c r="L43" s="4" t="inlineStr">
        <is>
          <t>Готов</t>
        </is>
      </c>
      <c r="M43" s="5" t="inlineStr">
        <is>
          <t>content/nedeli-3-4_12.10-25.10/08-pn-19.10-6-cifr-ponedelnika/</t>
        </is>
      </c>
      <c r="N43" s="5" t="inlineStr"/>
      <c r="O43" s="5" t="inlineStr"/>
    </row>
    <row r="44">
      <c r="A44" s="4" t="n">
        <v>41</v>
      </c>
      <c r="B44" s="5" t="inlineStr">
        <is>
          <t>10. Недели 3–4</t>
        </is>
      </c>
      <c r="C44" s="6" t="inlineStr">
        <is>
          <t>Вт 20.10 · Мем «Ожидание / реальность: второй филиал»</t>
        </is>
      </c>
      <c r="D44" s="5" t="inlineStr">
        <is>
          <t>Мем</t>
        </is>
      </c>
      <c r="E44" s="5" t="inlineStr">
        <is>
          <t>Мем</t>
        </is>
      </c>
      <c r="F44" s="4" t="inlineStr">
        <is>
          <t>Нужно</t>
        </is>
      </c>
      <c r="G44" s="4" t="inlineStr">
        <is>
          <t>Нужно</t>
        </is>
      </c>
      <c r="H44" s="4" t="inlineStr">
        <is>
          <t>Нужно</t>
        </is>
      </c>
      <c r="I44" s="4" t="inlineStr">
        <is>
          <t>—</t>
        </is>
      </c>
      <c r="J44" s="4" t="inlineStr">
        <is>
          <t>—</t>
        </is>
      </c>
      <c r="K44" s="4">
        <f>IF(COUNTIF(F44:J44,"Нужно")=0,"Готово","Осталось: "&amp;COUNTIF(F44:J44,"Нужно"))</f>
        <v/>
      </c>
      <c r="L44" s="4" t="inlineStr">
        <is>
          <t>Готов</t>
        </is>
      </c>
      <c r="M44" s="5" t="inlineStr">
        <is>
          <t>content/nedeli-3-4_12.10-25.10/09-vt-20.10-mem-ozhidanie-realnost/</t>
        </is>
      </c>
      <c r="N44" s="5" t="inlineStr"/>
      <c r="O44" s="5" t="inlineStr"/>
    </row>
    <row r="45">
      <c r="A45" s="4" t="n">
        <v>42</v>
      </c>
      <c r="B45" s="5" t="inlineStr">
        <is>
          <t>10. Недели 3–4</t>
        </is>
      </c>
      <c r="C45" s="6" t="inlineStr">
        <is>
          <t>Ср 21.10 · 5 вопросов тренеру на собеседовании</t>
        </is>
      </c>
      <c r="D45" s="5" t="inlineStr">
        <is>
          <t>Карусель</t>
        </is>
      </c>
      <c r="E45" s="5" t="inlineStr">
        <is>
          <t>Польза</t>
        </is>
      </c>
      <c r="F45" s="4" t="inlineStr">
        <is>
          <t>Нужно</t>
        </is>
      </c>
      <c r="G45" s="4" t="inlineStr">
        <is>
          <t>Нужно</t>
        </is>
      </c>
      <c r="H45" s="4" t="inlineStr">
        <is>
          <t>Нужно</t>
        </is>
      </c>
      <c r="I45" s="4" t="inlineStr">
        <is>
          <t>—</t>
        </is>
      </c>
      <c r="J45" s="4" t="inlineStr">
        <is>
          <t>—</t>
        </is>
      </c>
      <c r="K45" s="4">
        <f>IF(COUNTIF(F45:J45,"Нужно")=0,"Готово","Осталось: "&amp;COUNTIF(F45:J45,"Нужно"))</f>
        <v/>
      </c>
      <c r="L45" s="4" t="inlineStr">
        <is>
          <t>Готов</t>
        </is>
      </c>
      <c r="M45" s="5" t="inlineStr">
        <is>
          <t>content/nedeli-3-4_12.10-25.10/10-sr-21.10-sobesedovanie-trenera/</t>
        </is>
      </c>
      <c r="N45" s="5" t="inlineStr"/>
      <c r="O45" s="5" t="inlineStr"/>
    </row>
    <row r="46">
      <c r="A46" s="4" t="n">
        <v>43</v>
      </c>
      <c r="B46" s="5" t="inlineStr">
        <is>
          <t>10. Недели 3–4</t>
        </is>
      </c>
      <c r="C46" s="6" t="inlineStr">
        <is>
          <t>Чт 22.10 · Мем «Уровни владельца» + рилс «Hot Seat»</t>
        </is>
      </c>
      <c r="D46" s="5" t="inlineStr">
        <is>
          <t>Мем + рилс</t>
        </is>
      </c>
      <c r="E46" s="5" t="inlineStr">
        <is>
          <t>Мем</t>
        </is>
      </c>
      <c r="F46" s="4" t="inlineStr">
        <is>
          <t>Нужно</t>
        </is>
      </c>
      <c r="G46" s="4" t="inlineStr">
        <is>
          <t>Нужно</t>
        </is>
      </c>
      <c r="H46" s="4" t="inlineStr">
        <is>
          <t>Нужно</t>
        </is>
      </c>
      <c r="I46" s="4" t="inlineStr">
        <is>
          <t>—</t>
        </is>
      </c>
      <c r="J46" s="4" t="inlineStr">
        <is>
          <t>—</t>
        </is>
      </c>
      <c r="K46" s="4">
        <f>IF(COUNTIF(F46:J46,"Нужно")=0,"Готово","Осталось: "&amp;COUNTIF(F46:J46,"Нужно"))</f>
        <v/>
      </c>
      <c r="L46" s="4" t="inlineStr">
        <is>
          <t>Готов</t>
        </is>
      </c>
      <c r="M46" s="5" t="inlineStr">
        <is>
          <t>content/nedeli-3-4_12.10-25.10/11-cht-22.10-mem-urovni/</t>
        </is>
      </c>
      <c r="N46" s="5" t="inlineStr">
        <is>
          <t>Рилс — под трендовый звук</t>
        </is>
      </c>
      <c r="O46" s="5" t="inlineStr"/>
    </row>
    <row r="47">
      <c r="A47" s="4" t="n">
        <v>44</v>
      </c>
      <c r="B47" s="5" t="inlineStr">
        <is>
          <t>10. Недели 3–4</t>
        </is>
      </c>
      <c r="C47" s="6" t="inlineStr">
        <is>
          <t>Пт 23.10 · Business Live: подайте бизнес на разбор</t>
        </is>
      </c>
      <c r="D47" s="5" t="inlineStr">
        <is>
          <t>Карусель</t>
        </is>
      </c>
      <c r="E47" s="5" t="inlineStr">
        <is>
          <t>Форум</t>
        </is>
      </c>
      <c r="F47" s="4" t="inlineStr">
        <is>
          <t>Нужно</t>
        </is>
      </c>
      <c r="G47" s="4" t="inlineStr">
        <is>
          <t>Нужно</t>
        </is>
      </c>
      <c r="H47" s="4" t="inlineStr">
        <is>
          <t>Нужно</t>
        </is>
      </c>
      <c r="I47" s="4" t="inlineStr">
        <is>
          <t>—</t>
        </is>
      </c>
      <c r="J47" s="4" t="inlineStr">
        <is>
          <t>—</t>
        </is>
      </c>
      <c r="K47" s="4">
        <f>IF(COUNTIF(F47:J47,"Нужно")=0,"Готово","Осталось: "&amp;COUNTIF(F47:J47,"Нужно"))</f>
        <v/>
      </c>
      <c r="L47" s="4" t="inlineStr">
        <is>
          <t>Готов</t>
        </is>
      </c>
      <c r="M47" s="5" t="inlineStr">
        <is>
          <t>content/nedeli-3-4_12.10-25.10/12-pt-23.10-business-live/</t>
        </is>
      </c>
      <c r="N47" s="5" t="inlineStr">
        <is>
          <t>Ссылка ведёт на #business-live</t>
        </is>
      </c>
      <c r="O47" s="5" t="inlineStr"/>
    </row>
    <row r="48">
      <c r="A48" s="4" t="n">
        <v>45</v>
      </c>
      <c r="B48" s="5" t="inlineStr">
        <is>
          <t>10. Недели 3–4</t>
        </is>
      </c>
      <c r="C48" s="6" t="inlineStr">
        <is>
          <t>Сб 24.10 · Вы покупаете не билет</t>
        </is>
      </c>
      <c r="D48" s="5" t="inlineStr">
        <is>
          <t>Карусель</t>
        </is>
      </c>
      <c r="E48" s="5" t="inlineStr">
        <is>
          <t>Продажа</t>
        </is>
      </c>
      <c r="F48" s="4" t="inlineStr">
        <is>
          <t>Нужно</t>
        </is>
      </c>
      <c r="G48" s="4" t="inlineStr">
        <is>
          <t>Нужно</t>
        </is>
      </c>
      <c r="H48" s="4" t="inlineStr">
        <is>
          <t>Нужно</t>
        </is>
      </c>
      <c r="I48" s="4" t="inlineStr">
        <is>
          <t>—</t>
        </is>
      </c>
      <c r="J48" s="4" t="inlineStr">
        <is>
          <t>—</t>
        </is>
      </c>
      <c r="K48" s="4">
        <f>IF(COUNTIF(F48:J48,"Нужно")=0,"Готово","Осталось: "&amp;COUNTIF(F48:J48,"Нужно"))</f>
        <v/>
      </c>
      <c r="L48" s="4" t="inlineStr">
        <is>
          <t>Готов</t>
        </is>
      </c>
      <c r="M48" s="5" t="inlineStr">
        <is>
          <t>content/nedeli-3-4_12.10-25.10/13-sb-24.10-ne-bilet/</t>
        </is>
      </c>
      <c r="N48" s="5" t="inlineStr"/>
      <c r="O48" s="5" t="inlineStr"/>
    </row>
    <row r="49">
      <c r="A49" s="4" t="n">
        <v>46</v>
      </c>
      <c r="B49" s="5" t="inlineStr">
        <is>
          <t>10. Недели 3–4</t>
        </is>
      </c>
      <c r="C49" s="6" t="inlineStr">
        <is>
          <t>Вс 25.10 · Итоги розыгрыша билета</t>
        </is>
      </c>
      <c r="D49" s="5" t="inlineStr">
        <is>
          <t>Картинка + сторис</t>
        </is>
      </c>
      <c r="E49" s="5" t="inlineStr">
        <is>
          <t>Розыгрыш</t>
        </is>
      </c>
      <c r="F49" s="4" t="inlineStr">
        <is>
          <t>Нужно</t>
        </is>
      </c>
      <c r="G49" s="4" t="inlineStr">
        <is>
          <t>Нужно</t>
        </is>
      </c>
      <c r="H49" s="4" t="inlineStr">
        <is>
          <t>Нужно</t>
        </is>
      </c>
      <c r="I49" s="4" t="inlineStr">
        <is>
          <t>—</t>
        </is>
      </c>
      <c r="J49" s="4" t="inlineStr">
        <is>
          <t>—</t>
        </is>
      </c>
      <c r="K49" s="4">
        <f>IF(COUNTIF(F49:J49,"Нужно")=0,"Готово","Осталось: "&amp;COUNTIF(F49:J49,"Нужно"))</f>
        <v/>
      </c>
      <c r="L49" s="4" t="inlineStr">
        <is>
          <t>Готов</t>
        </is>
      </c>
      <c r="M49" s="5" t="inlineStr">
        <is>
          <t>content/nedeli-3-4_12.10-25.10/14-vs-25.10-itogi-rozygrysha/</t>
        </is>
      </c>
      <c r="N49" s="5" t="inlineStr"/>
      <c r="O49" s="5" t="inlineStr"/>
    </row>
    <row r="50">
      <c r="A50" s="4" t="n">
        <v>47</v>
      </c>
      <c r="B50" s="5" t="inlineStr">
        <is>
          <t>10. Недели 3–4</t>
        </is>
      </c>
      <c r="C50" s="6" t="inlineStr">
        <is>
          <t>Каждый день · Сторис-отсчёт 32 → 19 дней</t>
        </is>
      </c>
      <c r="D50" s="5" t="inlineStr">
        <is>
          <t>Сторис</t>
        </is>
      </c>
      <c r="E50" s="5" t="inlineStr">
        <is>
          <t>Отсчёт</t>
        </is>
      </c>
      <c r="F50" s="4" t="inlineStr">
        <is>
          <t>—</t>
        </is>
      </c>
      <c r="G50" s="4" t="inlineStr">
        <is>
          <t>Нужно</t>
        </is>
      </c>
      <c r="H50" s="4" t="inlineStr">
        <is>
          <t>Нужно</t>
        </is>
      </c>
      <c r="I50" s="4" t="inlineStr">
        <is>
          <t>—</t>
        </is>
      </c>
      <c r="J50" s="4" t="inlineStr">
        <is>
          <t>—</t>
        </is>
      </c>
      <c r="K50" s="4">
        <f>IF(COUNTIF(F50:J50,"Нужно")=0,"Готово","Осталось: "&amp;COUNTIF(F50:J50,"Нужно"))</f>
        <v/>
      </c>
      <c r="L50" s="4" t="inlineStr">
        <is>
          <t>Готов</t>
        </is>
      </c>
      <c r="M50" s="5" t="inlineStr">
        <is>
          <t>content/nedeli-3-4_12.10-25.10/storis-otschet/</t>
        </is>
      </c>
      <c r="N50" s="5" t="inlineStr"/>
      <c r="O50" s="5" t="inlineStr"/>
    </row>
    <row r="51">
      <c r="A51" s="4" t="n">
        <v>48</v>
      </c>
      <c r="B51" s="5" t="inlineStr">
        <is>
          <t>9. Неделя 2 — спикеры</t>
        </is>
      </c>
      <c r="C51" s="6" t="inlineStr">
        <is>
          <t>Пн 05.10 · Тизер «На этой неделе раскрываем всех спикеров»</t>
        </is>
      </c>
      <c r="D51" s="5" t="inlineStr">
        <is>
          <t>Пост + сторис</t>
        </is>
      </c>
      <c r="E51" s="5" t="inlineStr">
        <is>
          <t>Спикеры</t>
        </is>
      </c>
      <c r="F51" s="4" t="inlineStr">
        <is>
          <t>Нужно</t>
        </is>
      </c>
      <c r="G51" s="4" t="inlineStr">
        <is>
          <t>Нужно</t>
        </is>
      </c>
      <c r="H51" s="4" t="inlineStr">
        <is>
          <t>Нужно</t>
        </is>
      </c>
      <c r="I51" s="4" t="inlineStr">
        <is>
          <t>—</t>
        </is>
      </c>
      <c r="J51" s="4" t="inlineStr">
        <is>
          <t>—</t>
        </is>
      </c>
      <c r="K51" s="4">
        <f>IF(COUNTIF(F51:J51,"Нужно")=0,"Готово","Осталось: "&amp;COUNTIF(F51:J51,"Нужно"))</f>
        <v/>
      </c>
      <c r="L51" s="4" t="inlineStr">
        <is>
          <t>Готов</t>
        </is>
      </c>
      <c r="M51" s="5" t="inlineStr">
        <is>
          <t>content/week-02_05.10-11.10/telegram/1-pn-05.10-tizer.md · Figma: «Неделя 2 — спикеры»</t>
        </is>
      </c>
      <c r="N51" s="5" t="inlineStr"/>
      <c r="O51" s="5" t="inlineStr"/>
    </row>
    <row r="52">
      <c r="A52" s="4" t="n">
        <v>49</v>
      </c>
      <c r="B52" s="5" t="inlineStr">
        <is>
          <t>9. Неделя 2 — спикеры</t>
        </is>
      </c>
      <c r="C52" s="6" t="inlineStr">
        <is>
          <t>Вт 06.10 · Спикеры трека MONEY</t>
        </is>
      </c>
      <c r="D52" s="5" t="inlineStr">
        <is>
          <t>Пост + карусель</t>
        </is>
      </c>
      <c r="E52" s="5" t="inlineStr">
        <is>
          <t>Спикеры</t>
        </is>
      </c>
      <c r="F52" s="4" t="inlineStr">
        <is>
          <t>Нужно</t>
        </is>
      </c>
      <c r="G52" s="4" t="inlineStr">
        <is>
          <t>Нужно</t>
        </is>
      </c>
      <c r="H52" s="4" t="inlineStr">
        <is>
          <t>Нужно</t>
        </is>
      </c>
      <c r="I52" s="4" t="inlineStr">
        <is>
          <t>—</t>
        </is>
      </c>
      <c r="J52" s="4" t="inlineStr">
        <is>
          <t>—</t>
        </is>
      </c>
      <c r="K52" s="4">
        <f>IF(COUNTIF(F52:J52,"Нужно")=0,"Готово","Осталось: "&amp;COUNTIF(F52:J52,"Нужно"))</f>
        <v/>
      </c>
      <c r="L52" s="4" t="inlineStr">
        <is>
          <t>Ждём цифры опроса</t>
        </is>
      </c>
      <c r="M52" s="5" t="inlineStr">
        <is>
          <t>content/week-02_05.10-11.10/telegram/2-vt-06.10-money.md · Figma</t>
        </is>
      </c>
      <c r="N52" s="5" t="inlineStr">
        <is>
          <t>Нужны имена, должности, темы, фото, ники; пригласить спикеров соавторами</t>
        </is>
      </c>
      <c r="O52" s="5" t="inlineStr"/>
    </row>
    <row r="53">
      <c r="A53" s="4" t="n">
        <v>50</v>
      </c>
      <c r="B53" s="5" t="inlineStr">
        <is>
          <t>9. Неделя 2 — спикеры</t>
        </is>
      </c>
      <c r="C53" s="6" t="inlineStr">
        <is>
          <t>Ср 07.10 · Спикеры трека CLIENT</t>
        </is>
      </c>
      <c r="D53" s="5" t="inlineStr">
        <is>
          <t>Пост + карусель</t>
        </is>
      </c>
      <c r="E53" s="5" t="inlineStr">
        <is>
          <t>Спикеры</t>
        </is>
      </c>
      <c r="F53" s="4" t="inlineStr">
        <is>
          <t>Нужно</t>
        </is>
      </c>
      <c r="G53" s="4" t="inlineStr">
        <is>
          <t>Нужно</t>
        </is>
      </c>
      <c r="H53" s="4" t="inlineStr">
        <is>
          <t>Нужно</t>
        </is>
      </c>
      <c r="I53" s="4" t="inlineStr">
        <is>
          <t>—</t>
        </is>
      </c>
      <c r="J53" s="4" t="inlineStr">
        <is>
          <t>—</t>
        </is>
      </c>
      <c r="K53" s="4">
        <f>IF(COUNTIF(F53:J53,"Нужно")=0,"Готово","Осталось: "&amp;COUNTIF(F53:J53,"Нужно"))</f>
        <v/>
      </c>
      <c r="L53" s="4" t="inlineStr">
        <is>
          <t>Ждём цифры опроса</t>
        </is>
      </c>
      <c r="M53" s="5" t="inlineStr">
        <is>
          <t>content/week-02_05.10-11.10/telegram/3-sr-07.10-client.md · Figma</t>
        </is>
      </c>
      <c r="N53" s="5" t="inlineStr">
        <is>
          <t>То же</t>
        </is>
      </c>
      <c r="O53" s="5" t="inlineStr"/>
    </row>
    <row r="54">
      <c r="A54" s="4" t="n">
        <v>51</v>
      </c>
      <c r="B54" s="5" t="inlineStr">
        <is>
          <t>9. Неделя 2 — спикеры</t>
        </is>
      </c>
      <c r="C54" s="6" t="inlineStr">
        <is>
          <t>Чт 08.10 · Спикеры трека TEAM</t>
        </is>
      </c>
      <c r="D54" s="5" t="inlineStr">
        <is>
          <t>Пост + карусель</t>
        </is>
      </c>
      <c r="E54" s="5" t="inlineStr">
        <is>
          <t>Спикеры</t>
        </is>
      </c>
      <c r="F54" s="4" t="inlineStr">
        <is>
          <t>Нужно</t>
        </is>
      </c>
      <c r="G54" s="4" t="inlineStr">
        <is>
          <t>Нужно</t>
        </is>
      </c>
      <c r="H54" s="4" t="inlineStr">
        <is>
          <t>Нужно</t>
        </is>
      </c>
      <c r="I54" s="4" t="inlineStr">
        <is>
          <t>—</t>
        </is>
      </c>
      <c r="J54" s="4" t="inlineStr">
        <is>
          <t>—</t>
        </is>
      </c>
      <c r="K54" s="4">
        <f>IF(COUNTIF(F54:J54,"Нужно")=0,"Готово","Осталось: "&amp;COUNTIF(F54:J54,"Нужно"))</f>
        <v/>
      </c>
      <c r="L54" s="4" t="inlineStr">
        <is>
          <t>Ждём цифры опроса</t>
        </is>
      </c>
      <c r="M54" s="5" t="inlineStr">
        <is>
          <t>content/week-02_05.10-11.10/telegram/4-cht-08.10-team.md · Figma</t>
        </is>
      </c>
      <c r="N54" s="5" t="inlineStr">
        <is>
          <t>То же</t>
        </is>
      </c>
      <c r="O54" s="5" t="inlineStr"/>
    </row>
    <row r="55">
      <c r="A55" s="4" t="n">
        <v>52</v>
      </c>
      <c r="B55" s="5" t="inlineStr">
        <is>
          <t>9. Неделя 2 — спикеры</t>
        </is>
      </c>
      <c r="C55" s="6" t="inlineStr">
        <is>
          <t>Пт 09.10 · Спикеры треков GROWTH + FUTURE</t>
        </is>
      </c>
      <c r="D55" s="5" t="inlineStr">
        <is>
          <t>Пост + карусель</t>
        </is>
      </c>
      <c r="E55" s="5" t="inlineStr">
        <is>
          <t>Спикеры</t>
        </is>
      </c>
      <c r="F55" s="4" t="inlineStr">
        <is>
          <t>Нужно</t>
        </is>
      </c>
      <c r="G55" s="4" t="inlineStr">
        <is>
          <t>Нужно</t>
        </is>
      </c>
      <c r="H55" s="4" t="inlineStr">
        <is>
          <t>Нужно</t>
        </is>
      </c>
      <c r="I55" s="4" t="inlineStr">
        <is>
          <t>—</t>
        </is>
      </c>
      <c r="J55" s="4" t="inlineStr">
        <is>
          <t>—</t>
        </is>
      </c>
      <c r="K55" s="4">
        <f>IF(COUNTIF(F55:J55,"Нужно")=0,"Готово","Осталось: "&amp;COUNTIF(F55:J55,"Нужно"))</f>
        <v/>
      </c>
      <c r="L55" s="4" t="inlineStr">
        <is>
          <t>Ждём цифры опроса</t>
        </is>
      </c>
      <c r="M55" s="5" t="inlineStr">
        <is>
          <t>content/week-02_05.10-11.10/telegram/5-pt-09.10-growth-future.md · Figma</t>
        </is>
      </c>
      <c r="N55" s="5" t="inlineStr">
        <is>
          <t>То же</t>
        </is>
      </c>
      <c r="O55" s="5" t="inlineStr"/>
    </row>
    <row r="56">
      <c r="A56" s="4" t="n">
        <v>53</v>
      </c>
      <c r="B56" s="5" t="inlineStr">
        <is>
          <t>9. Неделя 2 — спикеры</t>
        </is>
      </c>
      <c r="C56" s="6" t="inlineStr">
        <is>
          <t>Сб 10.10 · «Все спикеры РЕШЕНО» — закрепить</t>
        </is>
      </c>
      <c r="D56" s="5" t="inlineStr">
        <is>
          <t>Пост + карусель</t>
        </is>
      </c>
      <c r="E56" s="5" t="inlineStr">
        <is>
          <t>Спикеры</t>
        </is>
      </c>
      <c r="F56" s="4" t="inlineStr">
        <is>
          <t>Нужно</t>
        </is>
      </c>
      <c r="G56" s="4" t="inlineStr">
        <is>
          <t>Нужно</t>
        </is>
      </c>
      <c r="H56" s="4" t="inlineStr">
        <is>
          <t>Нужно</t>
        </is>
      </c>
      <c r="I56" s="4" t="inlineStr">
        <is>
          <t>—</t>
        </is>
      </c>
      <c r="J56" s="4" t="inlineStr">
        <is>
          <t>—</t>
        </is>
      </c>
      <c r="K56" s="4">
        <f>IF(COUNTIF(F56:J56,"Нужно")=0,"Готово","Осталось: "&amp;COUNTIF(F56:J56,"Нужно"))</f>
        <v/>
      </c>
      <c r="L56" s="4" t="inlineStr">
        <is>
          <t>Ждём цифры опроса</t>
        </is>
      </c>
      <c r="M56" s="5" t="inlineStr">
        <is>
          <t>content/week-02_05.10-11.10/telegram/6-sb-10.10-vse-spikery.md · Figma</t>
        </is>
      </c>
      <c r="N56" s="5" t="inlineStr">
        <is>
          <t>Открепить манифест, закрепить этот пост</t>
        </is>
      </c>
      <c r="O56" s="5" t="inlineStr"/>
    </row>
    <row r="57">
      <c r="A57" s="4" t="n">
        <v>54</v>
      </c>
      <c r="B57" s="5" t="inlineStr">
        <is>
          <t>9. Неделя 2 — спикеры</t>
        </is>
      </c>
      <c r="C57" s="6" t="inlineStr">
        <is>
          <t>Вс 11.10 · Опрос «Чей разбор ждёте больше всего?»</t>
        </is>
      </c>
      <c r="D57" s="5" t="inlineStr">
        <is>
          <t>Опрос + сторис</t>
        </is>
      </c>
      <c r="E57" s="5" t="inlineStr">
        <is>
          <t>Спикеры</t>
        </is>
      </c>
      <c r="F57" s="4" t="inlineStr">
        <is>
          <t>Нужно</t>
        </is>
      </c>
      <c r="G57" s="4" t="inlineStr">
        <is>
          <t>Нужно</t>
        </is>
      </c>
      <c r="H57" s="4" t="inlineStr">
        <is>
          <t>Нужно</t>
        </is>
      </c>
      <c r="I57" s="4" t="inlineStr">
        <is>
          <t>—</t>
        </is>
      </c>
      <c r="J57" s="4" t="inlineStr">
        <is>
          <t>—</t>
        </is>
      </c>
      <c r="K57" s="4">
        <f>IF(COUNTIF(F57:J57,"Нужно")=0,"Готово","Осталось: "&amp;COUNTIF(F57:J57,"Нужно"))</f>
        <v/>
      </c>
      <c r="L57" s="4" t="inlineStr">
        <is>
          <t>Ждём цифры опроса</t>
        </is>
      </c>
      <c r="M57" s="5" t="inlineStr">
        <is>
          <t>content/week-02_05.10-11.10/telegram/7-vs-11.10-opros.md · Figma</t>
        </is>
      </c>
      <c r="N57" s="5" t="inlineStr"/>
      <c r="O57" s="5" t="inlineStr"/>
    </row>
    <row r="58">
      <c r="A58" s="4" t="n">
        <v>55</v>
      </c>
      <c r="B58" s="5" t="inlineStr">
        <is>
          <t>9. Неделя 2 — спикеры</t>
        </is>
      </c>
      <c r="C58" s="6" t="inlineStr">
        <is>
          <t>Каждый день · Сторис-отсчёт «До форума N дней» + сторис каждого спикера</t>
        </is>
      </c>
      <c r="D58" s="5" t="inlineStr">
        <is>
          <t>Сторис</t>
        </is>
      </c>
      <c r="E58" s="5" t="inlineStr">
        <is>
          <t>Отсчёт</t>
        </is>
      </c>
      <c r="F58" s="4" t="inlineStr">
        <is>
          <t>—</t>
        </is>
      </c>
      <c r="G58" s="4" t="inlineStr">
        <is>
          <t>Нужно</t>
        </is>
      </c>
      <c r="H58" s="4" t="inlineStr">
        <is>
          <t>Нужно</t>
        </is>
      </c>
      <c r="I58" s="4" t="inlineStr">
        <is>
          <t>—</t>
        </is>
      </c>
      <c r="J58" s="4" t="inlineStr">
        <is>
          <t>—</t>
        </is>
      </c>
      <c r="K58" s="4">
        <f>IF(COUNTIF(F58:J58,"Нужно")=0,"Готово","Осталось: "&amp;COUNTIF(F58:J58,"Нужно"))</f>
        <v/>
      </c>
      <c r="L58" s="4" t="inlineStr">
        <is>
          <t>Готов</t>
        </is>
      </c>
      <c r="M58" s="5" t="inlineStr">
        <is>
          <t>content/week-02_05.10-11.10/instagram/README.md · Figma</t>
        </is>
      </c>
      <c r="N58" s="5" t="inlineStr">
        <is>
          <t>Вт 38, Ср 37, Чт 36, Пт 35, Сб 34, Вс 33</t>
        </is>
      </c>
      <c r="O58" s="5" t="inlineStr"/>
    </row>
  </sheetData>
  <autoFilter ref="A3:O58"/>
  <mergeCells count="2">
    <mergeCell ref="A1:O1"/>
    <mergeCell ref="A2:O2"/>
  </mergeCells>
  <conditionalFormatting sqref="F4:J108">
    <cfRule type="cellIs" priority="1" operator="equal" dxfId="0">
      <formula>"Выложено"</formula>
    </cfRule>
    <cfRule type="cellIs" priority="2" operator="equal" dxfId="1">
      <formula>"Нужно"</formula>
    </cfRule>
    <cfRule type="cellIs" priority="3" operator="equal" dxfId="2">
      <formula>"—"</formula>
    </cfRule>
  </conditionalFormatting>
  <conditionalFormatting sqref="K4:K108">
    <cfRule type="cellIs" priority="4" operator="equal" dxfId="0">
      <formula>"Готово"</formula>
    </cfRule>
  </conditionalFormatting>
  <conditionalFormatting sqref="L4:L108">
    <cfRule type="cellIs" priority="5" operator="notEqual" dxfId="3">
      <formula>"Готов"</formula>
    </cfRule>
  </conditionalFormatting>
  <conditionalFormatting sqref="A4:E58">
    <cfRule type="expression" priority="6" dxfId="4">
      <formula>$K4="Готово"</formula>
    </cfRule>
  </conditionalFormatting>
  <dataValidations count="2">
    <dataValidation sqref="F4:J108" showDropDown="0" showInputMessage="0" showErrorMessage="0" allowBlank="1" type="list">
      <formula1>"Нужно,Выложено,—"</formula1>
    </dataValidation>
    <dataValidation sqref="L4:L108" showDropDown="0" showInputMessage="0" showErrorMessage="0" allowBlank="1" type="list">
      <formula1>"Готов,Нужно снять,Нужно сделать,Ждём цифры опроса"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7" t="inlineStr">
        <is>
          <t>Сводка по площадкам</t>
        </is>
      </c>
    </row>
    <row r="2">
      <c r="A2" s="8" t="inlineStr">
        <is>
          <t>Площадка</t>
        </is>
      </c>
      <c r="B2" s="8" t="inlineStr">
        <is>
          <t>Запланировано</t>
        </is>
      </c>
      <c r="C2" s="8" t="inlineStr">
        <is>
          <t>Выложено</t>
        </is>
      </c>
      <c r="D2" s="8" t="inlineStr">
        <is>
          <t>Осталось</t>
        </is>
      </c>
      <c r="E2" s="8" t="inlineStr">
        <is>
          <t>Прогресс</t>
        </is>
      </c>
    </row>
    <row r="3">
      <c r="A3" s="9" t="inlineStr">
        <is>
          <t>Telegram</t>
        </is>
      </c>
      <c r="B3" s="9">
        <f>COUNTIF(План!F4:F108,"Нужно")+COUNTIF(План!F4:F108,"Выложено")</f>
        <v/>
      </c>
      <c r="C3" s="9">
        <f>COUNTIF(План!F4:F108,"Выложено")</f>
        <v/>
      </c>
      <c r="D3" s="9">
        <f>B3-C3</f>
        <v/>
      </c>
      <c r="E3" s="10">
        <f>IF(B3=0,0,C3/B3)</f>
        <v/>
      </c>
    </row>
    <row r="4">
      <c r="A4" s="9" t="inlineStr">
        <is>
          <t>VK</t>
        </is>
      </c>
      <c r="B4" s="9">
        <f>COUNTIF(План!G4:G108,"Нужно")+COUNTIF(План!G4:G108,"Выложено")</f>
        <v/>
      </c>
      <c r="C4" s="9">
        <f>COUNTIF(План!G4:G108,"Выложено")</f>
        <v/>
      </c>
      <c r="D4" s="9">
        <f>B4-C4</f>
        <v/>
      </c>
      <c r="E4" s="10">
        <f>IF(B4=0,0,C4/B4)</f>
        <v/>
      </c>
    </row>
    <row r="5">
      <c r="A5" s="9" t="inlineStr">
        <is>
          <t>Instagram</t>
        </is>
      </c>
      <c r="B5" s="9">
        <f>COUNTIF(План!H4:H108,"Нужно")+COUNTIF(План!H4:H108,"Выложено")</f>
        <v/>
      </c>
      <c r="C5" s="9">
        <f>COUNTIF(План!H4:H108,"Выложено")</f>
        <v/>
      </c>
      <c r="D5" s="9">
        <f>B5-C5</f>
        <v/>
      </c>
      <c r="E5" s="10">
        <f>IF(B5=0,0,C5/B5)</f>
        <v/>
      </c>
    </row>
    <row r="6">
      <c r="A6" s="9" t="inlineStr">
        <is>
          <t>YouTube</t>
        </is>
      </c>
      <c r="B6" s="9">
        <f>COUNTIF(План!I4:I108,"Нужно")+COUNTIF(План!I4:I108,"Выложено")</f>
        <v/>
      </c>
      <c r="C6" s="9">
        <f>COUNTIF(План!I4:I108,"Выложено")</f>
        <v/>
      </c>
      <c r="D6" s="9">
        <f>B6-C6</f>
        <v/>
      </c>
      <c r="E6" s="10">
        <f>IF(B6=0,0,C6/B6)</f>
        <v/>
      </c>
    </row>
    <row r="7">
      <c r="A7" s="9" t="inlineStr">
        <is>
          <t>TG-чат</t>
        </is>
      </c>
      <c r="B7" s="9">
        <f>COUNTIF(План!J4:J108,"Нужно")+COUNTIF(План!J4:J108,"Выложено")</f>
        <v/>
      </c>
      <c r="C7" s="9">
        <f>COUNTIF(План!J4:J108,"Выложено")</f>
        <v/>
      </c>
      <c r="D7" s="9">
        <f>B7-C7</f>
        <v/>
      </c>
      <c r="E7" s="10">
        <f>IF(B7=0,0,C7/B7)</f>
        <v/>
      </c>
    </row>
    <row r="8">
      <c r="A8" s="11" t="inlineStr">
        <is>
          <t>Всего публикаций</t>
        </is>
      </c>
      <c r="B8" s="11">
        <f>SUM(B3:B7)</f>
        <v/>
      </c>
      <c r="C8" s="11">
        <f>SUM(C3:C7)</f>
        <v/>
      </c>
      <c r="D8" s="11">
        <f>B8-C8</f>
        <v/>
      </c>
      <c r="E8" s="12">
        <f>IF(B8=0,0,C8/B8)</f>
        <v/>
      </c>
    </row>
    <row r="9">
      <c r="A9" s="13" t="n"/>
      <c r="B9" s="13" t="n"/>
      <c r="C9" s="13" t="n"/>
      <c r="D9" s="13" t="n"/>
      <c r="E9" s="14" t="n"/>
    </row>
    <row r="10">
      <c r="A10" s="13" t="inlineStr">
        <is>
          <t>Пунктов плана</t>
        </is>
      </c>
      <c r="B10" s="13">
        <f>COUNTA(План!C4:C108)</f>
        <v/>
      </c>
      <c r="C10" s="13" t="n"/>
      <c r="D10" s="13" t="n"/>
      <c r="E10" s="14" t="n"/>
    </row>
    <row r="11">
      <c r="A11" s="13" t="inlineStr">
        <is>
          <t>Готово целиком</t>
        </is>
      </c>
      <c r="B11" s="13">
        <f>COUNTIF(План!K4:K108,"Готово")</f>
        <v/>
      </c>
      <c r="C11" s="13" t="n"/>
      <c r="D11" s="13" t="n"/>
      <c r="E11" s="14" t="n"/>
    </row>
    <row r="12">
      <c r="A12" s="13" t="inlineStr">
        <is>
          <t>Материал не готов (снять / сделать / цифры)</t>
        </is>
      </c>
      <c r="B12" s="13">
        <f>COUNTIF(План!L4:L108,"&lt;&gt;Готов")-COUNTBLANK(План!L4:L108)</f>
        <v/>
      </c>
      <c r="C12" s="13" t="n"/>
      <c r="D12" s="13" t="n"/>
      <c r="E12" s="1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Как пользоваться таблицей</t>
        </is>
      </c>
    </row>
    <row r="2" ht="32" customHeight="1">
      <c r="A2" s="16" t="inlineStr">
        <is>
          <t>1. Идём по листу «План» сверху вниз — это рекомендуемый порядок. Даты не жёсткие: порядок можно менять, вырезав и вставив строку.</t>
        </is>
      </c>
    </row>
    <row r="3" ht="32" customHeight="1">
      <c r="A3" s="16" t="inlineStr">
        <is>
          <t>2. Колонки Telegram / VK / Instagram / YouTube / TG-чат: «Нужно» — надо выложить, «Выложено» — вышло, «—» — на этой площадке не публикуем. Значения выбираются из списка.</t>
        </is>
      </c>
    </row>
    <row r="4" ht="32" customHeight="1">
      <c r="A4" s="16" t="inlineStr">
        <is>
          <t>3. «Статус» считается сам: «Готово», когда на всех нужных площадках стоит «Выложено», иначе — сколько площадок осталось.</t>
        </is>
      </c>
    </row>
    <row r="5" ht="32" customHeight="1">
      <c r="A5" s="16" t="inlineStr">
        <is>
          <t>4. «Материал»: «Готов» — можно публиковать; «Нужно снять», «Нужно сделать», «Ждём цифры опроса» — подсвечено красным, сначала доделать.</t>
        </is>
      </c>
    </row>
    <row r="6" ht="32" customHeight="1">
      <c r="A6" s="16" t="inlineStr">
        <is>
          <t>5. Новый пункт — добавьте строку внизу и выберите значения из списков; на листе «Сводка» он учтётся автоматически.</t>
        </is>
      </c>
    </row>
    <row r="7" ht="32" customHeight="1">
      <c r="A7" s="16" t="inlineStr">
        <is>
          <t>Пример строки: «Рилс «Полный зал» | Рилс | Атмосфера | Telegram: Нужно | VK: Выложено | Instagram: Выложено | YouTube: — | TG-чат: — | Материал: Готов».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2026-10-26T11:41:06Z</dcterms:created>
  <dcterms:modified xsi:type="dcterms:W3CDTF">2026-10-26T11:41:06Z</dcterms:modified>
</cp:coreProperties>
</file>